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a5fd1699a4b977/Documents/Data_Analytics/assignment/excel/Assignment-1/"/>
    </mc:Choice>
  </mc:AlternateContent>
  <xr:revisionPtr revIDLastSave="0" documentId="8_{923B6712-9B63-1B41-BA1A-1AB8D322517F}" xr6:coauthVersionLast="47" xr6:coauthVersionMax="47" xr10:uidLastSave="{00000000-0000-0000-0000-000000000000}"/>
  <bookViews>
    <workbookView xWindow="-108" yWindow="-108" windowWidth="23256" windowHeight="12456" activeTab="5" xr2:uid="{44F6B5DD-4E88-4603-A2F3-B5917913ACC9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8" l="1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7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M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L6" i="4"/>
  <c r="G17" i="3"/>
  <c r="H14" i="2"/>
</calcChain>
</file>

<file path=xl/sharedStrings.xml><?xml version="1.0" encoding="utf-8"?>
<sst xmlns="http://schemas.openxmlformats.org/spreadsheetml/2006/main" count="977" uniqueCount="141">
  <si>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</si>
  <si>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</si>
  <si>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</si>
  <si>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</si>
  <si>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</si>
  <si>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</si>
  <si>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</si>
  <si>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</si>
  <si>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</si>
  <si>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</si>
  <si>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</si>
  <si>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</si>
  <si>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</si>
  <si>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</si>
  <si>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</si>
  <si>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</si>
  <si>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</si>
  <si>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</si>
  <si>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</si>
  <si>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</si>
  <si>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</si>
  <si>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</si>
  <si>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</si>
  <si>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</si>
  <si>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</si>
  <si>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</si>
  <si>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</si>
  <si>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</si>
  <si>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</si>
  <si>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</si>
  <si>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</si>
  <si>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</si>
  <si>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</si>
  <si>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t xml:space="preserve">FORMULA:  </t>
    </r>
    <r>
      <rPr>
        <sz val="14"/>
        <color theme="1"/>
        <rFont val="Calibri"/>
        <family val="2"/>
        <scheme val="minor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</si>
  <si>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</si>
  <si>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</si>
  <si>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</si>
  <si>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</si>
  <si>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</si>
  <si>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</si>
  <si>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</si>
  <si>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=AVERAGEIFS(E10:E12,D10:D12"&gt;100",D10:D12,"&lt;300")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</si>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</sst>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/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0" fillId="2" borderId="0" xfId="0" applyFill="1"/>
    <xf numFmtId="0" fontId="1" fillId="6" borderId="0" xfId="0" applyFont="1" applyFill="1"/>
    <xf numFmtId="0" fontId="0" fillId="6" borderId="0" xfId="0" applyFill="1"/>
    <xf numFmtId="0" fontId="5" fillId="7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right"/>
    </xf>
    <xf numFmtId="0" fontId="0" fillId="8" borderId="0" xfId="0" applyFill="1"/>
    <xf numFmtId="0" fontId="5" fillId="8" borderId="0" xfId="0" applyFont="1" applyFill="1" applyBorder="1"/>
    <xf numFmtId="0" fontId="1" fillId="9" borderId="0" xfId="0" applyFont="1" applyFill="1"/>
    <xf numFmtId="0" fontId="5" fillId="7" borderId="3" xfId="0" applyFont="1" applyFill="1" applyBorder="1"/>
    <xf numFmtId="0" fontId="0" fillId="5" borderId="1" xfId="0" applyFont="1" applyFill="1" applyBorder="1"/>
    <xf numFmtId="0" fontId="7" fillId="5" borderId="0" xfId="0" applyFont="1" applyFill="1" applyBorder="1"/>
    <xf numFmtId="0" fontId="2" fillId="6" borderId="0" xfId="0" applyFont="1" applyFill="1"/>
    <xf numFmtId="0" fontId="0" fillId="5" borderId="1" xfId="0" applyFill="1" applyBorder="1"/>
    <xf numFmtId="0" fontId="5" fillId="6" borderId="2" xfId="0" applyFont="1" applyFill="1" applyBorder="1"/>
    <xf numFmtId="0" fontId="5" fillId="6" borderId="0" xfId="0" applyFont="1" applyFill="1" applyBorder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25824283251272E-2"/>
          <c:y val="0.11587004061230867"/>
          <c:w val="0.91526323741135063"/>
          <c:h val="0.7413893788112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Q.7!$J$8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F84-A075-536FB007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828879"/>
        <c:axId val="899832239"/>
      </c:barChart>
      <c:catAx>
        <c:axId val="89982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32239"/>
        <c:crosses val="autoZero"/>
        <c:auto val="1"/>
        <c:lblAlgn val="ctr"/>
        <c:lblOffset val="100"/>
        <c:noMultiLvlLbl val="0"/>
      </c:catAx>
      <c:valAx>
        <c:axId val="899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16245370370370371"/>
          <c:w val="0.76625853018372703"/>
          <c:h val="0.57734580052493434"/>
        </c:manualLayout>
      </c:layout>
      <c:line3D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46079"/>
        <c:axId val="1576540799"/>
        <c:axId val="1508317615"/>
      </c:line3DChart>
      <c:catAx>
        <c:axId val="15765460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erAx>
        <c:axId val="1508317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9</xdr:row>
      <xdr:rowOff>163830</xdr:rowOff>
    </xdr:from>
    <xdr:to>
      <xdr:col>29</xdr:col>
      <xdr:colOff>7620</xdr:colOff>
      <xdr:row>40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F19C-703B-B3CC-5896-3B3D60D0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8</xdr:row>
      <xdr:rowOff>41910</xdr:rowOff>
    </xdr:from>
    <xdr:to>
      <xdr:col>26</xdr:col>
      <xdr:colOff>228600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5AB-9B64-4CC9-9F28-ADC74A21D0CC}">
  <dimension ref="A1:A31"/>
  <sheetViews>
    <sheetView topLeftCell="A10" workbookViewId="0">
      <selection activeCell="A35" sqref="A35"/>
    </sheetView>
  </sheetViews>
  <sheetFormatPr defaultRowHeight="15" x14ac:dyDescent="0.2"/>
  <cols>
    <col min="1" max="1" width="110.7109375" customWidth="1"/>
  </cols>
  <sheetData>
    <row r="1" spans="1:1" ht="31.5" x14ac:dyDescent="0.45">
      <c r="A1" s="2" t="s">
        <v>0</v>
      </c>
    </row>
    <row r="3" spans="1:1" ht="21" x14ac:dyDescent="0.3">
      <c r="A3" s="3" t="s">
        <v>1</v>
      </c>
    </row>
    <row r="5" spans="1:1" x14ac:dyDescent="0.2">
      <c r="A5" s="9" t="s">
        <v>2</v>
      </c>
    </row>
    <row r="6" spans="1:1" x14ac:dyDescent="0.2">
      <c r="A6" s="4" t="s">
        <v>3</v>
      </c>
    </row>
    <row r="7" spans="1:1" x14ac:dyDescent="0.2">
      <c r="A7" s="5" t="s">
        <v>4</v>
      </c>
    </row>
    <row r="8" spans="1:1" x14ac:dyDescent="0.2">
      <c r="A8" s="6" t="s">
        <v>5</v>
      </c>
    </row>
    <row r="9" spans="1:1" x14ac:dyDescent="0.2">
      <c r="A9" s="5" t="s">
        <v>6</v>
      </c>
    </row>
    <row r="10" spans="1:1" x14ac:dyDescent="0.2">
      <c r="A10" s="5" t="s">
        <v>7</v>
      </c>
    </row>
    <row r="11" spans="1:1" x14ac:dyDescent="0.2">
      <c r="A11" s="5" t="s">
        <v>8</v>
      </c>
    </row>
    <row r="12" spans="1:1" x14ac:dyDescent="0.2">
      <c r="A12" s="5" t="s">
        <v>9</v>
      </c>
    </row>
    <row r="13" spans="1:1" ht="27.75" x14ac:dyDescent="0.2">
      <c r="A13" s="7" t="s">
        <v>10</v>
      </c>
    </row>
    <row r="14" spans="1:1" x14ac:dyDescent="0.2">
      <c r="A14" s="5" t="s">
        <v>11</v>
      </c>
    </row>
    <row r="15" spans="1:1" x14ac:dyDescent="0.2">
      <c r="A15" s="5" t="s">
        <v>12</v>
      </c>
    </row>
    <row r="16" spans="1:1" x14ac:dyDescent="0.2">
      <c r="A16" s="5" t="s">
        <v>13</v>
      </c>
    </row>
    <row r="17" spans="1:1" x14ac:dyDescent="0.2">
      <c r="A17" s="5" t="s">
        <v>14</v>
      </c>
    </row>
    <row r="18" spans="1:1" x14ac:dyDescent="0.2">
      <c r="A18" s="5" t="s">
        <v>7</v>
      </c>
    </row>
    <row r="19" spans="1:1" x14ac:dyDescent="0.2">
      <c r="A19" s="5" t="s">
        <v>15</v>
      </c>
    </row>
    <row r="20" spans="1:1" x14ac:dyDescent="0.2">
      <c r="A20" s="5" t="s">
        <v>9</v>
      </c>
    </row>
    <row r="21" spans="1:1" ht="27.75" x14ac:dyDescent="0.2">
      <c r="A21" s="8" t="s">
        <v>16</v>
      </c>
    </row>
    <row r="22" spans="1:1" x14ac:dyDescent="0.2">
      <c r="A22" s="5" t="s">
        <v>17</v>
      </c>
    </row>
    <row r="23" spans="1:1" x14ac:dyDescent="0.2">
      <c r="A23" s="5" t="s">
        <v>18</v>
      </c>
    </row>
    <row r="24" spans="1:1" x14ac:dyDescent="0.2">
      <c r="A24" s="5" t="s">
        <v>19</v>
      </c>
    </row>
    <row r="25" spans="1:1" x14ac:dyDescent="0.2">
      <c r="A25" s="5" t="s">
        <v>20</v>
      </c>
    </row>
    <row r="26" spans="1:1" x14ac:dyDescent="0.2">
      <c r="A26" s="5" t="s">
        <v>21</v>
      </c>
    </row>
    <row r="27" spans="1:1" x14ac:dyDescent="0.2">
      <c r="A27" s="5" t="s">
        <v>22</v>
      </c>
    </row>
    <row r="28" spans="1:1" x14ac:dyDescent="0.2">
      <c r="A28" s="5" t="s">
        <v>7</v>
      </c>
    </row>
    <row r="29" spans="1:1" x14ac:dyDescent="0.2">
      <c r="A29" s="5" t="s">
        <v>23</v>
      </c>
    </row>
    <row r="30" spans="1:1" x14ac:dyDescent="0.2">
      <c r="A30" s="5" t="s">
        <v>24</v>
      </c>
    </row>
    <row r="31" spans="1:1" x14ac:dyDescent="0.2">
      <c r="A31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6"/>
  <sheetViews>
    <sheetView workbookViewId="0">
      <selection activeCell="E23" sqref="E23"/>
    </sheetView>
  </sheetViews>
  <sheetFormatPr defaultRowHeight="15" x14ac:dyDescent="0.2"/>
  <cols>
    <col min="5" max="5" width="8.875" customWidth="1"/>
  </cols>
  <sheetData>
    <row r="4" spans="3:12" x14ac:dyDescent="0.2">
      <c r="C4" s="32" t="s">
        <v>26</v>
      </c>
      <c r="D4" s="32"/>
      <c r="E4" s="32"/>
      <c r="F4" s="32"/>
      <c r="G4" s="32"/>
      <c r="H4" s="32"/>
      <c r="I4" s="32"/>
      <c r="J4" s="32"/>
      <c r="K4" s="32"/>
      <c r="L4" s="32"/>
    </row>
    <row r="6" spans="3:12" x14ac:dyDescent="0.2">
      <c r="E6" s="10" t="s">
        <v>27</v>
      </c>
      <c r="F6" s="10" t="s">
        <v>28</v>
      </c>
    </row>
    <row r="7" spans="3:12" x14ac:dyDescent="0.2">
      <c r="E7" s="11" t="s">
        <v>29</v>
      </c>
      <c r="F7" s="11">
        <v>500000</v>
      </c>
    </row>
    <row r="8" spans="3:12" x14ac:dyDescent="0.2">
      <c r="E8" s="11" t="s">
        <v>30</v>
      </c>
      <c r="F8" s="11">
        <v>10500</v>
      </c>
    </row>
    <row r="9" spans="3:12" ht="27.75" x14ac:dyDescent="0.2">
      <c r="E9" s="12" t="s">
        <v>31</v>
      </c>
      <c r="F9" s="11">
        <v>25000</v>
      </c>
    </row>
    <row r="11" spans="3:12" x14ac:dyDescent="0.2">
      <c r="C11" s="13" t="s">
        <v>3</v>
      </c>
      <c r="D11" s="14"/>
      <c r="E11" s="14"/>
      <c r="F11" s="14"/>
      <c r="G11" s="14"/>
      <c r="H11" s="14"/>
      <c r="I11" s="14"/>
      <c r="J11" s="14"/>
      <c r="K11" s="14"/>
    </row>
    <row r="12" spans="3:12" x14ac:dyDescent="0.2">
      <c r="C12" s="14"/>
      <c r="D12" s="33" t="s">
        <v>32</v>
      </c>
      <c r="E12" s="33"/>
      <c r="F12" s="33"/>
      <c r="G12" s="33"/>
      <c r="H12" s="33"/>
      <c r="I12" s="33"/>
      <c r="J12" s="33"/>
      <c r="K12" s="33"/>
    </row>
    <row r="13" spans="3:12" x14ac:dyDescent="0.2">
      <c r="C13" s="14"/>
      <c r="D13" s="14"/>
      <c r="E13" s="14"/>
      <c r="F13" s="14"/>
      <c r="G13" s="14"/>
      <c r="H13" s="14"/>
      <c r="I13" s="14"/>
      <c r="J13" s="14"/>
      <c r="K13" s="14"/>
    </row>
    <row r="14" spans="3:12" x14ac:dyDescent="0.2">
      <c r="C14" s="14"/>
      <c r="D14" s="14"/>
      <c r="E14" s="14"/>
      <c r="F14" s="14"/>
      <c r="G14" s="14"/>
      <c r="H14" s="17">
        <f>SUM(F7,F8)</f>
        <v>510500</v>
      </c>
      <c r="I14" s="14"/>
      <c r="J14" s="14"/>
      <c r="K14" s="14"/>
    </row>
    <row r="15" spans="3:12" x14ac:dyDescent="0.2">
      <c r="C15" s="14"/>
      <c r="D15" s="14"/>
      <c r="E15" s="14"/>
      <c r="F15" s="14"/>
      <c r="G15" s="14"/>
      <c r="H15" s="14"/>
      <c r="I15" s="14"/>
      <c r="J15" s="14"/>
      <c r="K15" s="14"/>
    </row>
    <row r="16" spans="3:12" ht="18.75" x14ac:dyDescent="0.25">
      <c r="C16" s="14"/>
      <c r="D16" s="14"/>
      <c r="E16" s="34" t="s">
        <v>33</v>
      </c>
      <c r="F16" s="34"/>
      <c r="G16" s="34"/>
      <c r="H16" s="34"/>
      <c r="I16" s="34"/>
      <c r="J16" s="34"/>
      <c r="K16" s="14"/>
    </row>
  </sheetData>
  <mergeCells count="3">
    <mergeCell ref="C4:L4"/>
    <mergeCell ref="D12:K12"/>
    <mergeCell ref="E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7:M18"/>
  <sheetViews>
    <sheetView workbookViewId="0">
      <selection activeCell="H23" sqref="H23"/>
    </sheetView>
  </sheetViews>
  <sheetFormatPr defaultRowHeight="15" x14ac:dyDescent="0.2"/>
  <sheetData>
    <row r="7" spans="2:13" x14ac:dyDescent="0.2">
      <c r="B7" s="32" t="s">
        <v>34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</row>
    <row r="9" spans="2:13" x14ac:dyDescent="0.2">
      <c r="C9" s="15" t="s">
        <v>35</v>
      </c>
      <c r="D9" s="15" t="s">
        <v>28</v>
      </c>
      <c r="E9" s="15" t="s">
        <v>36</v>
      </c>
    </row>
    <row r="10" spans="2:13" x14ac:dyDescent="0.2">
      <c r="C10" s="14" t="s">
        <v>37</v>
      </c>
      <c r="D10" s="14">
        <v>90</v>
      </c>
      <c r="E10" s="14">
        <v>1000</v>
      </c>
    </row>
    <row r="11" spans="2:13" x14ac:dyDescent="0.2">
      <c r="C11" s="14" t="s">
        <v>38</v>
      </c>
      <c r="D11" s="14">
        <v>150</v>
      </c>
      <c r="E11" s="14">
        <v>1200</v>
      </c>
    </row>
    <row r="12" spans="2:13" x14ac:dyDescent="0.2">
      <c r="C12" s="14" t="s">
        <v>39</v>
      </c>
      <c r="D12" s="14">
        <v>250</v>
      </c>
      <c r="E12" s="14">
        <v>1500</v>
      </c>
    </row>
    <row r="14" spans="2:13" x14ac:dyDescent="0.2">
      <c r="B14" s="13" t="s">
        <v>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2:13" x14ac:dyDescent="0.2">
      <c r="B15" s="33" t="s">
        <v>40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2:13" x14ac:dyDescent="0.2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2:13" x14ac:dyDescent="0.2">
      <c r="B17" s="14"/>
      <c r="C17" s="14"/>
      <c r="D17" s="14"/>
      <c r="E17" s="14"/>
      <c r="F17" s="14"/>
      <c r="G17" s="16">
        <f>AVERAGEIFS(E10:E12,D10:D12,"&gt;100",D10:D12,"&lt;300")</f>
        <v>1350</v>
      </c>
      <c r="H17" s="14"/>
      <c r="I17" s="14"/>
      <c r="J17" s="14"/>
      <c r="K17" s="14"/>
      <c r="L17" s="14"/>
      <c r="M17" s="14"/>
    </row>
    <row r="18" spans="2:13" ht="21" x14ac:dyDescent="0.3">
      <c r="B18" s="33" t="s">
        <v>41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</sheetData>
  <mergeCells count="3">
    <mergeCell ref="B7:M7"/>
    <mergeCell ref="B15:M15"/>
    <mergeCell ref="B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B3:M55"/>
  <sheetViews>
    <sheetView workbookViewId="0">
      <selection activeCell="K13" sqref="K13"/>
    </sheetView>
  </sheetViews>
  <sheetFormatPr defaultRowHeight="15" x14ac:dyDescent="0.2"/>
  <cols>
    <col min="3" max="3" width="14.2578125" bestFit="1" customWidth="1"/>
    <col min="8" max="8" width="14.125" customWidth="1"/>
  </cols>
  <sheetData>
    <row r="3" spans="2:13" x14ac:dyDescent="0.2">
      <c r="B3" s="32" t="s">
        <v>42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5" spans="2:13" x14ac:dyDescent="0.2">
      <c r="B5" s="18" t="s">
        <v>43</v>
      </c>
      <c r="C5" s="18" t="s">
        <v>44</v>
      </c>
      <c r="D5" s="18" t="s">
        <v>45</v>
      </c>
      <c r="E5" s="18" t="s">
        <v>46</v>
      </c>
      <c r="F5" s="18" t="s">
        <v>47</v>
      </c>
      <c r="G5" s="18" t="s">
        <v>48</v>
      </c>
      <c r="H5" s="18" t="s">
        <v>49</v>
      </c>
    </row>
    <row r="6" spans="2:13" x14ac:dyDescent="0.2">
      <c r="B6" s="19">
        <v>1001</v>
      </c>
      <c r="C6" s="20" t="s">
        <v>50</v>
      </c>
      <c r="D6" s="20" t="s">
        <v>51</v>
      </c>
      <c r="E6" s="20" t="s">
        <v>52</v>
      </c>
      <c r="F6" s="19">
        <v>10</v>
      </c>
      <c r="G6" s="19">
        <v>50</v>
      </c>
      <c r="H6" s="21">
        <v>45413</v>
      </c>
      <c r="K6" s="22" t="s">
        <v>3</v>
      </c>
      <c r="L6" s="17">
        <f>COUNTA(C6:C55)</f>
        <v>50</v>
      </c>
    </row>
    <row r="7" spans="2:13" x14ac:dyDescent="0.2">
      <c r="B7" s="19">
        <v>1002</v>
      </c>
      <c r="C7" s="20" t="s">
        <v>53</v>
      </c>
      <c r="D7" s="20" t="s">
        <v>54</v>
      </c>
      <c r="E7" s="20" t="s">
        <v>55</v>
      </c>
      <c r="F7" s="19">
        <v>20</v>
      </c>
      <c r="G7" s="19">
        <v>10</v>
      </c>
      <c r="H7" s="21">
        <v>45444</v>
      </c>
    </row>
    <row r="8" spans="2:13" x14ac:dyDescent="0.2">
      <c r="B8" s="19">
        <v>1003</v>
      </c>
      <c r="C8" s="20" t="s">
        <v>56</v>
      </c>
      <c r="D8" s="20" t="s">
        <v>57</v>
      </c>
      <c r="E8" s="20" t="s">
        <v>58</v>
      </c>
      <c r="F8" s="19">
        <v>15</v>
      </c>
      <c r="G8" s="19">
        <v>25</v>
      </c>
      <c r="H8" s="21">
        <v>45474</v>
      </c>
    </row>
    <row r="9" spans="2:13" x14ac:dyDescent="0.2">
      <c r="B9" s="19">
        <v>1004</v>
      </c>
      <c r="C9" s="20" t="s">
        <v>59</v>
      </c>
      <c r="D9" s="20" t="s">
        <v>60</v>
      </c>
      <c r="E9" s="20" t="s">
        <v>52</v>
      </c>
      <c r="F9" s="19">
        <v>5</v>
      </c>
      <c r="G9" s="19">
        <v>50</v>
      </c>
      <c r="H9" s="21">
        <v>45505</v>
      </c>
    </row>
    <row r="10" spans="2:13" x14ac:dyDescent="0.2">
      <c r="B10" s="19">
        <v>1005</v>
      </c>
      <c r="C10" s="20" t="s">
        <v>61</v>
      </c>
      <c r="D10" s="20" t="s">
        <v>51</v>
      </c>
      <c r="E10" s="20" t="s">
        <v>62</v>
      </c>
      <c r="F10" s="19">
        <v>30</v>
      </c>
      <c r="G10" s="19">
        <v>5</v>
      </c>
      <c r="H10" s="21">
        <v>45566</v>
      </c>
    </row>
    <row r="11" spans="2:13" x14ac:dyDescent="0.2">
      <c r="B11" s="19">
        <v>1006</v>
      </c>
      <c r="C11" s="20" t="s">
        <v>63</v>
      </c>
      <c r="D11" s="20" t="s">
        <v>54</v>
      </c>
      <c r="E11" s="20" t="s">
        <v>52</v>
      </c>
      <c r="F11" s="19">
        <v>12</v>
      </c>
      <c r="G11" s="19">
        <v>50</v>
      </c>
      <c r="H11" s="21">
        <v>45597</v>
      </c>
    </row>
    <row r="12" spans="2:13" x14ac:dyDescent="0.2">
      <c r="B12" s="19">
        <v>1007</v>
      </c>
      <c r="C12" s="20" t="s">
        <v>64</v>
      </c>
      <c r="D12" s="20" t="s">
        <v>57</v>
      </c>
      <c r="E12" s="20" t="s">
        <v>65</v>
      </c>
      <c r="F12" s="19">
        <v>25</v>
      </c>
      <c r="G12" s="19">
        <v>8</v>
      </c>
      <c r="H12" s="19" t="s">
        <v>66</v>
      </c>
    </row>
    <row r="13" spans="2:13" x14ac:dyDescent="0.2">
      <c r="B13" s="19">
        <v>1008</v>
      </c>
      <c r="C13" s="20" t="s">
        <v>67</v>
      </c>
      <c r="D13" s="20" t="s">
        <v>60</v>
      </c>
      <c r="E13" s="20" t="s">
        <v>55</v>
      </c>
      <c r="F13" s="19">
        <v>18</v>
      </c>
      <c r="G13" s="19">
        <v>10</v>
      </c>
      <c r="H13" s="19" t="s">
        <v>68</v>
      </c>
    </row>
    <row r="14" spans="2:13" x14ac:dyDescent="0.2">
      <c r="B14" s="19">
        <v>1009</v>
      </c>
      <c r="C14" s="20" t="s">
        <v>69</v>
      </c>
      <c r="D14" s="20" t="s">
        <v>51</v>
      </c>
      <c r="E14" s="20" t="s">
        <v>58</v>
      </c>
      <c r="F14" s="19">
        <v>22</v>
      </c>
      <c r="G14" s="19">
        <v>25</v>
      </c>
      <c r="H14" s="19" t="s">
        <v>70</v>
      </c>
    </row>
    <row r="15" spans="2:13" x14ac:dyDescent="0.2">
      <c r="B15" s="19">
        <v>1010</v>
      </c>
      <c r="C15" s="20" t="s">
        <v>71</v>
      </c>
      <c r="D15" s="20" t="s">
        <v>54</v>
      </c>
      <c r="E15" s="20" t="s">
        <v>52</v>
      </c>
      <c r="F15" s="19">
        <v>8</v>
      </c>
      <c r="G15" s="19">
        <v>50</v>
      </c>
      <c r="H15" s="19" t="s">
        <v>72</v>
      </c>
    </row>
    <row r="16" spans="2:13" x14ac:dyDescent="0.2">
      <c r="B16" s="19">
        <v>1011</v>
      </c>
      <c r="C16" s="20" t="s">
        <v>73</v>
      </c>
      <c r="D16" s="20" t="s">
        <v>57</v>
      </c>
      <c r="E16" s="20" t="s">
        <v>62</v>
      </c>
      <c r="F16" s="19">
        <v>40</v>
      </c>
      <c r="G16" s="19">
        <v>5</v>
      </c>
      <c r="H16" s="19" t="s">
        <v>74</v>
      </c>
    </row>
    <row r="17" spans="2:8" x14ac:dyDescent="0.2">
      <c r="B17" s="19">
        <v>1012</v>
      </c>
      <c r="C17" s="20" t="s">
        <v>75</v>
      </c>
      <c r="D17" s="20" t="s">
        <v>60</v>
      </c>
      <c r="E17" s="20" t="s">
        <v>65</v>
      </c>
      <c r="F17" s="19">
        <v>35</v>
      </c>
      <c r="G17" s="19">
        <v>8</v>
      </c>
      <c r="H17" s="19" t="s">
        <v>76</v>
      </c>
    </row>
    <row r="18" spans="2:8" x14ac:dyDescent="0.2">
      <c r="B18" s="19">
        <v>1013</v>
      </c>
      <c r="C18" s="20" t="s">
        <v>77</v>
      </c>
      <c r="D18" s="20" t="s">
        <v>51</v>
      </c>
      <c r="E18" s="20" t="s">
        <v>52</v>
      </c>
      <c r="F18" s="19">
        <v>14</v>
      </c>
      <c r="G18" s="19">
        <v>50</v>
      </c>
      <c r="H18" s="19" t="s">
        <v>78</v>
      </c>
    </row>
    <row r="19" spans="2:8" x14ac:dyDescent="0.2">
      <c r="B19" s="19">
        <v>1014</v>
      </c>
      <c r="C19" s="20" t="s">
        <v>79</v>
      </c>
      <c r="D19" s="20" t="s">
        <v>54</v>
      </c>
      <c r="E19" s="20" t="s">
        <v>55</v>
      </c>
      <c r="F19" s="19">
        <v>28</v>
      </c>
      <c r="G19" s="19">
        <v>10</v>
      </c>
      <c r="H19" s="19" t="s">
        <v>80</v>
      </c>
    </row>
    <row r="20" spans="2:8" x14ac:dyDescent="0.2">
      <c r="B20" s="19">
        <v>1015</v>
      </c>
      <c r="C20" s="20" t="s">
        <v>81</v>
      </c>
      <c r="D20" s="20" t="s">
        <v>57</v>
      </c>
      <c r="E20" s="20" t="s">
        <v>58</v>
      </c>
      <c r="F20" s="19">
        <v>12</v>
      </c>
      <c r="G20" s="19">
        <v>25</v>
      </c>
      <c r="H20" s="19" t="s">
        <v>82</v>
      </c>
    </row>
    <row r="21" spans="2:8" x14ac:dyDescent="0.2">
      <c r="B21" s="19">
        <v>1016</v>
      </c>
      <c r="C21" s="20" t="s">
        <v>83</v>
      </c>
      <c r="D21" s="20" t="s">
        <v>60</v>
      </c>
      <c r="E21" s="20" t="s">
        <v>62</v>
      </c>
      <c r="F21" s="19">
        <v>25</v>
      </c>
      <c r="G21" s="19">
        <v>5</v>
      </c>
      <c r="H21" s="19" t="s">
        <v>84</v>
      </c>
    </row>
    <row r="22" spans="2:8" x14ac:dyDescent="0.2">
      <c r="B22" s="19">
        <v>1017</v>
      </c>
      <c r="C22" s="20" t="s">
        <v>85</v>
      </c>
      <c r="D22" s="20" t="s">
        <v>51</v>
      </c>
      <c r="E22" s="20" t="s">
        <v>65</v>
      </c>
      <c r="F22" s="19">
        <v>20</v>
      </c>
      <c r="G22" s="19">
        <v>8</v>
      </c>
      <c r="H22" s="19" t="s">
        <v>86</v>
      </c>
    </row>
    <row r="23" spans="2:8" x14ac:dyDescent="0.2">
      <c r="B23" s="19">
        <v>1018</v>
      </c>
      <c r="C23" s="20" t="s">
        <v>87</v>
      </c>
      <c r="D23" s="20" t="s">
        <v>54</v>
      </c>
      <c r="E23" s="20" t="s">
        <v>52</v>
      </c>
      <c r="F23" s="19">
        <v>10</v>
      </c>
      <c r="G23" s="19">
        <v>50</v>
      </c>
      <c r="H23" s="19" t="s">
        <v>88</v>
      </c>
    </row>
    <row r="24" spans="2:8" x14ac:dyDescent="0.2">
      <c r="B24" s="19">
        <v>1019</v>
      </c>
      <c r="C24" s="20" t="s">
        <v>89</v>
      </c>
      <c r="D24" s="20" t="s">
        <v>57</v>
      </c>
      <c r="E24" s="20" t="s">
        <v>55</v>
      </c>
      <c r="F24" s="19">
        <v>15</v>
      </c>
      <c r="G24" s="19">
        <v>10</v>
      </c>
      <c r="H24" s="19" t="s">
        <v>90</v>
      </c>
    </row>
    <row r="25" spans="2:8" x14ac:dyDescent="0.2">
      <c r="B25" s="19">
        <v>1020</v>
      </c>
      <c r="C25" s="20" t="s">
        <v>91</v>
      </c>
      <c r="D25" s="20" t="s">
        <v>60</v>
      </c>
      <c r="E25" s="20" t="s">
        <v>58</v>
      </c>
      <c r="F25" s="19">
        <v>18</v>
      </c>
      <c r="G25" s="19">
        <v>25</v>
      </c>
      <c r="H25" s="21">
        <v>45293</v>
      </c>
    </row>
    <row r="26" spans="2:8" x14ac:dyDescent="0.2">
      <c r="B26" s="19">
        <v>1021</v>
      </c>
      <c r="C26" s="20" t="s">
        <v>92</v>
      </c>
      <c r="D26" s="20" t="s">
        <v>51</v>
      </c>
      <c r="E26" s="20" t="s">
        <v>52</v>
      </c>
      <c r="F26" s="19">
        <v>9</v>
      </c>
      <c r="G26" s="19">
        <v>50</v>
      </c>
      <c r="H26" s="21">
        <v>45324</v>
      </c>
    </row>
    <row r="27" spans="2:8" x14ac:dyDescent="0.2">
      <c r="B27" s="19">
        <v>1022</v>
      </c>
      <c r="C27" s="20" t="s">
        <v>93</v>
      </c>
      <c r="D27" s="20" t="s">
        <v>54</v>
      </c>
      <c r="E27" s="20" t="s">
        <v>62</v>
      </c>
      <c r="F27" s="19">
        <v>35</v>
      </c>
      <c r="G27" s="19">
        <v>5</v>
      </c>
      <c r="H27" s="21">
        <v>45353</v>
      </c>
    </row>
    <row r="28" spans="2:8" x14ac:dyDescent="0.2">
      <c r="B28" s="19">
        <v>1023</v>
      </c>
      <c r="C28" s="20" t="s">
        <v>94</v>
      </c>
      <c r="D28" s="20" t="s">
        <v>57</v>
      </c>
      <c r="E28" s="20" t="s">
        <v>65</v>
      </c>
      <c r="F28" s="19">
        <v>30</v>
      </c>
      <c r="G28" s="19">
        <v>8</v>
      </c>
      <c r="H28" s="21">
        <v>45384</v>
      </c>
    </row>
    <row r="29" spans="2:8" x14ac:dyDescent="0.2">
      <c r="B29" s="19">
        <v>1024</v>
      </c>
      <c r="C29" s="20" t="s">
        <v>95</v>
      </c>
      <c r="D29" s="20" t="s">
        <v>60</v>
      </c>
      <c r="E29" s="20" t="s">
        <v>52</v>
      </c>
      <c r="F29" s="19">
        <v>11</v>
      </c>
      <c r="G29" s="19">
        <v>50</v>
      </c>
      <c r="H29" s="21">
        <v>45445</v>
      </c>
    </row>
    <row r="30" spans="2:8" x14ac:dyDescent="0.2">
      <c r="B30" s="19">
        <v>1025</v>
      </c>
      <c r="C30" s="20" t="s">
        <v>96</v>
      </c>
      <c r="D30" s="20" t="s">
        <v>51</v>
      </c>
      <c r="E30" s="20" t="s">
        <v>55</v>
      </c>
      <c r="F30" s="19">
        <v>14</v>
      </c>
      <c r="G30" s="19">
        <v>10</v>
      </c>
      <c r="H30" s="21">
        <v>45475</v>
      </c>
    </row>
    <row r="31" spans="2:8" x14ac:dyDescent="0.2">
      <c r="B31" s="19">
        <v>1026</v>
      </c>
      <c r="C31" s="20" t="s">
        <v>97</v>
      </c>
      <c r="D31" s="20" t="s">
        <v>54</v>
      </c>
      <c r="E31" s="20" t="s">
        <v>58</v>
      </c>
      <c r="F31" s="19">
        <v>16</v>
      </c>
      <c r="G31" s="19">
        <v>25</v>
      </c>
      <c r="H31" s="21">
        <v>45506</v>
      </c>
    </row>
    <row r="32" spans="2:8" x14ac:dyDescent="0.2">
      <c r="B32" s="19">
        <v>1027</v>
      </c>
      <c r="C32" s="20" t="s">
        <v>98</v>
      </c>
      <c r="D32" s="20" t="s">
        <v>57</v>
      </c>
      <c r="E32" s="20" t="s">
        <v>62</v>
      </c>
      <c r="F32" s="19">
        <v>22</v>
      </c>
      <c r="G32" s="19">
        <v>5</v>
      </c>
      <c r="H32" s="21">
        <v>45537</v>
      </c>
    </row>
    <row r="33" spans="2:8" x14ac:dyDescent="0.2">
      <c r="B33" s="19">
        <v>1028</v>
      </c>
      <c r="C33" s="20" t="s">
        <v>99</v>
      </c>
      <c r="D33" s="20" t="s">
        <v>60</v>
      </c>
      <c r="E33" s="20" t="s">
        <v>65</v>
      </c>
      <c r="F33" s="19">
        <v>27</v>
      </c>
      <c r="G33" s="19">
        <v>8</v>
      </c>
      <c r="H33" s="21">
        <v>45567</v>
      </c>
    </row>
    <row r="34" spans="2:8" x14ac:dyDescent="0.2">
      <c r="B34" s="19">
        <v>1029</v>
      </c>
      <c r="C34" s="20" t="s">
        <v>100</v>
      </c>
      <c r="D34" s="20" t="s">
        <v>51</v>
      </c>
      <c r="E34" s="20" t="s">
        <v>52</v>
      </c>
      <c r="F34" s="19">
        <v>13</v>
      </c>
      <c r="G34" s="19">
        <v>50</v>
      </c>
      <c r="H34" s="21">
        <v>45628</v>
      </c>
    </row>
    <row r="35" spans="2:8" x14ac:dyDescent="0.2">
      <c r="B35" s="19">
        <v>1030</v>
      </c>
      <c r="C35" s="20" t="s">
        <v>101</v>
      </c>
      <c r="D35" s="20" t="s">
        <v>54</v>
      </c>
      <c r="E35" s="20" t="s">
        <v>55</v>
      </c>
      <c r="F35" s="19">
        <v>32</v>
      </c>
      <c r="G35" s="19">
        <v>10</v>
      </c>
      <c r="H35" s="19" t="s">
        <v>102</v>
      </c>
    </row>
    <row r="36" spans="2:8" x14ac:dyDescent="0.2">
      <c r="B36" s="19">
        <v>1031</v>
      </c>
      <c r="C36" s="20" t="s">
        <v>103</v>
      </c>
      <c r="D36" s="20" t="s">
        <v>57</v>
      </c>
      <c r="E36" s="20" t="s">
        <v>58</v>
      </c>
      <c r="F36" s="19">
        <v>10</v>
      </c>
      <c r="G36" s="19">
        <v>25</v>
      </c>
      <c r="H36" s="19" t="s">
        <v>104</v>
      </c>
    </row>
    <row r="37" spans="2:8" x14ac:dyDescent="0.2">
      <c r="B37" s="19">
        <v>1032</v>
      </c>
      <c r="C37" s="20" t="s">
        <v>105</v>
      </c>
      <c r="D37" s="20" t="s">
        <v>60</v>
      </c>
      <c r="E37" s="20" t="s">
        <v>62</v>
      </c>
      <c r="F37" s="19">
        <v>18</v>
      </c>
      <c r="G37" s="19">
        <v>5</v>
      </c>
      <c r="H37" s="19" t="s">
        <v>106</v>
      </c>
    </row>
    <row r="38" spans="2:8" x14ac:dyDescent="0.2">
      <c r="B38" s="19">
        <v>1033</v>
      </c>
      <c r="C38" s="20" t="s">
        <v>107</v>
      </c>
      <c r="D38" s="20" t="s">
        <v>51</v>
      </c>
      <c r="E38" s="20" t="s">
        <v>65</v>
      </c>
      <c r="F38" s="19">
        <v>22</v>
      </c>
      <c r="G38" s="19">
        <v>8</v>
      </c>
      <c r="H38" s="19" t="s">
        <v>108</v>
      </c>
    </row>
    <row r="39" spans="2:8" x14ac:dyDescent="0.2">
      <c r="B39" s="19">
        <v>1034</v>
      </c>
      <c r="C39" s="20" t="s">
        <v>109</v>
      </c>
      <c r="D39" s="20" t="s">
        <v>54</v>
      </c>
      <c r="E39" s="20" t="s">
        <v>52</v>
      </c>
      <c r="F39" s="19">
        <v>17</v>
      </c>
      <c r="G39" s="19">
        <v>50</v>
      </c>
      <c r="H39" s="19" t="s">
        <v>110</v>
      </c>
    </row>
    <row r="40" spans="2:8" x14ac:dyDescent="0.2">
      <c r="B40" s="19">
        <v>1035</v>
      </c>
      <c r="C40" s="20" t="s">
        <v>111</v>
      </c>
      <c r="D40" s="20" t="s">
        <v>57</v>
      </c>
      <c r="E40" s="20" t="s">
        <v>55</v>
      </c>
      <c r="F40" s="19">
        <v>19</v>
      </c>
      <c r="G40" s="19">
        <v>10</v>
      </c>
      <c r="H40" s="19" t="s">
        <v>112</v>
      </c>
    </row>
    <row r="41" spans="2:8" x14ac:dyDescent="0.2">
      <c r="B41" s="19">
        <v>1036</v>
      </c>
      <c r="C41" s="20" t="s">
        <v>113</v>
      </c>
      <c r="D41" s="20" t="s">
        <v>60</v>
      </c>
      <c r="E41" s="20" t="s">
        <v>58</v>
      </c>
      <c r="F41" s="19">
        <v>15</v>
      </c>
      <c r="G41" s="19">
        <v>25</v>
      </c>
      <c r="H41" s="19" t="s">
        <v>114</v>
      </c>
    </row>
    <row r="42" spans="2:8" x14ac:dyDescent="0.2">
      <c r="B42" s="19">
        <v>1037</v>
      </c>
      <c r="C42" s="20" t="s">
        <v>115</v>
      </c>
      <c r="D42" s="20" t="s">
        <v>51</v>
      </c>
      <c r="E42" s="20" t="s">
        <v>62</v>
      </c>
      <c r="F42" s="19">
        <v>28</v>
      </c>
      <c r="G42" s="19">
        <v>5</v>
      </c>
      <c r="H42" s="19" t="s">
        <v>116</v>
      </c>
    </row>
    <row r="43" spans="2:8" x14ac:dyDescent="0.2">
      <c r="B43" s="19">
        <v>1038</v>
      </c>
      <c r="C43" s="20" t="s">
        <v>117</v>
      </c>
      <c r="D43" s="20" t="s">
        <v>54</v>
      </c>
      <c r="E43" s="20" t="s">
        <v>65</v>
      </c>
      <c r="F43" s="19">
        <v>24</v>
      </c>
      <c r="G43" s="19">
        <v>8</v>
      </c>
      <c r="H43" s="19" t="s">
        <v>118</v>
      </c>
    </row>
    <row r="44" spans="2:8" x14ac:dyDescent="0.2">
      <c r="B44" s="19">
        <v>1039</v>
      </c>
      <c r="C44" s="20" t="s">
        <v>119</v>
      </c>
      <c r="D44" s="20" t="s">
        <v>57</v>
      </c>
      <c r="E44" s="20" t="s">
        <v>52</v>
      </c>
      <c r="F44" s="19">
        <v>16</v>
      </c>
      <c r="G44" s="19">
        <v>50</v>
      </c>
      <c r="H44" s="19" t="s">
        <v>120</v>
      </c>
    </row>
    <row r="45" spans="2:8" x14ac:dyDescent="0.2">
      <c r="B45" s="19">
        <v>1040</v>
      </c>
      <c r="C45" s="20" t="s">
        <v>121</v>
      </c>
      <c r="D45" s="20" t="s">
        <v>60</v>
      </c>
      <c r="E45" s="20" t="s">
        <v>55</v>
      </c>
      <c r="F45" s="19">
        <v>27</v>
      </c>
      <c r="G45" s="19">
        <v>10</v>
      </c>
      <c r="H45" s="19" t="s">
        <v>122</v>
      </c>
    </row>
    <row r="46" spans="2:8" x14ac:dyDescent="0.2">
      <c r="B46" s="19">
        <v>1041</v>
      </c>
      <c r="C46" s="20" t="s">
        <v>123</v>
      </c>
      <c r="D46" s="20" t="s">
        <v>51</v>
      </c>
      <c r="E46" s="20" t="s">
        <v>58</v>
      </c>
      <c r="F46" s="19">
        <v>21</v>
      </c>
      <c r="G46" s="19">
        <v>25</v>
      </c>
      <c r="H46" s="19" t="s">
        <v>124</v>
      </c>
    </row>
    <row r="47" spans="2:8" x14ac:dyDescent="0.2">
      <c r="B47" s="19">
        <v>1042</v>
      </c>
      <c r="C47" s="20" t="s">
        <v>125</v>
      </c>
      <c r="D47" s="20" t="s">
        <v>54</v>
      </c>
      <c r="E47" s="20" t="s">
        <v>62</v>
      </c>
      <c r="F47" s="19">
        <v>30</v>
      </c>
      <c r="G47" s="19">
        <v>5</v>
      </c>
      <c r="H47" s="19" t="s">
        <v>126</v>
      </c>
    </row>
    <row r="48" spans="2:8" x14ac:dyDescent="0.2">
      <c r="B48" s="19">
        <v>1043</v>
      </c>
      <c r="C48" s="20" t="s">
        <v>127</v>
      </c>
      <c r="D48" s="20" t="s">
        <v>57</v>
      </c>
      <c r="E48" s="20" t="s">
        <v>65</v>
      </c>
      <c r="F48" s="19">
        <v>26</v>
      </c>
      <c r="G48" s="19">
        <v>8</v>
      </c>
      <c r="H48" s="21">
        <v>45294</v>
      </c>
    </row>
    <row r="49" spans="2:8" x14ac:dyDescent="0.2">
      <c r="B49" s="19">
        <v>1044</v>
      </c>
      <c r="C49" s="20" t="s">
        <v>128</v>
      </c>
      <c r="D49" s="20" t="s">
        <v>60</v>
      </c>
      <c r="E49" s="20" t="s">
        <v>52</v>
      </c>
      <c r="F49" s="19">
        <v>14</v>
      </c>
      <c r="G49" s="19">
        <v>50</v>
      </c>
      <c r="H49" s="21">
        <v>45325</v>
      </c>
    </row>
    <row r="50" spans="2:8" x14ac:dyDescent="0.2">
      <c r="B50" s="19">
        <v>1045</v>
      </c>
      <c r="C50" s="20" t="s">
        <v>129</v>
      </c>
      <c r="D50" s="20" t="s">
        <v>51</v>
      </c>
      <c r="E50" s="20" t="s">
        <v>55</v>
      </c>
      <c r="F50" s="19">
        <v>20</v>
      </c>
      <c r="G50" s="19">
        <v>10</v>
      </c>
      <c r="H50" s="21">
        <v>45354</v>
      </c>
    </row>
    <row r="51" spans="2:8" x14ac:dyDescent="0.2">
      <c r="B51" s="19">
        <v>1046</v>
      </c>
      <c r="C51" s="20" t="s">
        <v>130</v>
      </c>
      <c r="D51" s="20" t="s">
        <v>54</v>
      </c>
      <c r="E51" s="20" t="s">
        <v>58</v>
      </c>
      <c r="F51" s="19">
        <v>17</v>
      </c>
      <c r="G51" s="19">
        <v>25</v>
      </c>
      <c r="H51" s="21">
        <v>45385</v>
      </c>
    </row>
    <row r="52" spans="2:8" x14ac:dyDescent="0.2">
      <c r="B52" s="19">
        <v>1047</v>
      </c>
      <c r="C52" s="20" t="s">
        <v>131</v>
      </c>
      <c r="D52" s="20" t="s">
        <v>57</v>
      </c>
      <c r="E52" s="20" t="s">
        <v>62</v>
      </c>
      <c r="F52" s="19">
        <v>19</v>
      </c>
      <c r="G52" s="19">
        <v>5</v>
      </c>
      <c r="H52" s="21">
        <v>45415</v>
      </c>
    </row>
    <row r="53" spans="2:8" x14ac:dyDescent="0.2">
      <c r="B53" s="19">
        <v>1048</v>
      </c>
      <c r="C53" s="20" t="s">
        <v>132</v>
      </c>
      <c r="D53" s="20" t="s">
        <v>60</v>
      </c>
      <c r="E53" s="20" t="s">
        <v>65</v>
      </c>
      <c r="F53" s="19">
        <v>32</v>
      </c>
      <c r="G53" s="19">
        <v>8</v>
      </c>
      <c r="H53" s="21">
        <v>45446</v>
      </c>
    </row>
    <row r="54" spans="2:8" x14ac:dyDescent="0.2">
      <c r="B54" s="19">
        <v>1049</v>
      </c>
      <c r="C54" s="20" t="s">
        <v>133</v>
      </c>
      <c r="D54" s="20" t="s">
        <v>51</v>
      </c>
      <c r="E54" s="20" t="s">
        <v>52</v>
      </c>
      <c r="F54" s="19">
        <v>12</v>
      </c>
      <c r="G54" s="19">
        <v>50</v>
      </c>
      <c r="H54" s="21">
        <v>45476</v>
      </c>
    </row>
    <row r="55" spans="2:8" x14ac:dyDescent="0.2">
      <c r="B55" s="19">
        <v>1050</v>
      </c>
      <c r="C55" s="20" t="s">
        <v>134</v>
      </c>
      <c r="D55" s="20" t="s">
        <v>54</v>
      </c>
      <c r="E55" s="20" t="s">
        <v>55</v>
      </c>
      <c r="F55" s="19">
        <v>25</v>
      </c>
      <c r="G55" s="19">
        <v>10</v>
      </c>
      <c r="H55" s="21">
        <v>45507</v>
      </c>
    </row>
  </sheetData>
  <mergeCells count="1"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N58"/>
  <sheetViews>
    <sheetView workbookViewId="0">
      <selection activeCell="L12" sqref="L12"/>
    </sheetView>
  </sheetViews>
  <sheetFormatPr defaultRowHeight="15" x14ac:dyDescent="0.2"/>
  <cols>
    <col min="4" max="4" width="16.27734375" customWidth="1"/>
    <col min="6" max="6" width="9.28125" bestFit="1" customWidth="1"/>
    <col min="9" max="9" width="14.796875" customWidth="1"/>
    <col min="14" max="14" width="11.02734375" bestFit="1" customWidth="1"/>
  </cols>
  <sheetData>
    <row r="4" spans="3:14" x14ac:dyDescent="0.2">
      <c r="C4" s="32" t="s">
        <v>135</v>
      </c>
      <c r="D4" s="32"/>
      <c r="E4" s="32"/>
      <c r="F4" s="32"/>
      <c r="G4" s="32"/>
      <c r="H4" s="32"/>
      <c r="I4" s="32"/>
      <c r="J4" s="32"/>
      <c r="K4" s="32"/>
      <c r="L4" s="32"/>
    </row>
    <row r="7" spans="3:14" x14ac:dyDescent="0.2">
      <c r="N7" s="1"/>
    </row>
    <row r="8" spans="3:14" x14ac:dyDescent="0.2">
      <c r="C8" s="18" t="s">
        <v>43</v>
      </c>
      <c r="D8" s="18" t="s">
        <v>44</v>
      </c>
      <c r="E8" s="18" t="s">
        <v>45</v>
      </c>
      <c r="F8" s="18" t="s">
        <v>46</v>
      </c>
      <c r="G8" s="18" t="s">
        <v>47</v>
      </c>
      <c r="H8" s="18" t="s">
        <v>48</v>
      </c>
      <c r="I8" s="18" t="s">
        <v>49</v>
      </c>
      <c r="L8" s="23" t="s">
        <v>3</v>
      </c>
      <c r="N8" s="24" t="s">
        <v>139</v>
      </c>
    </row>
    <row r="9" spans="3:14" x14ac:dyDescent="0.2">
      <c r="C9" s="19">
        <v>1001</v>
      </c>
      <c r="D9" s="20" t="s">
        <v>50</v>
      </c>
      <c r="E9" s="20" t="s">
        <v>51</v>
      </c>
      <c r="F9" s="20" t="s">
        <v>52</v>
      </c>
      <c r="G9" s="19">
        <v>10</v>
      </c>
      <c r="H9" s="19">
        <v>50</v>
      </c>
      <c r="I9" s="21">
        <v>45413</v>
      </c>
      <c r="N9" s="16">
        <f>PRODUCT(G9,H9)</f>
        <v>500</v>
      </c>
    </row>
    <row r="10" spans="3:14" x14ac:dyDescent="0.2">
      <c r="C10" s="19">
        <v>1002</v>
      </c>
      <c r="D10" s="20" t="s">
        <v>53</v>
      </c>
      <c r="E10" s="20" t="s">
        <v>54</v>
      </c>
      <c r="F10" s="20" t="s">
        <v>55</v>
      </c>
      <c r="G10" s="19">
        <v>20</v>
      </c>
      <c r="H10" s="19">
        <v>10</v>
      </c>
      <c r="I10" s="21">
        <v>45444</v>
      </c>
      <c r="N10" s="16">
        <f t="shared" ref="N10:N58" si="0">PRODUCT(G10,H10)</f>
        <v>200</v>
      </c>
    </row>
    <row r="11" spans="3:14" x14ac:dyDescent="0.2">
      <c r="C11" s="19">
        <v>1003</v>
      </c>
      <c r="D11" s="20" t="s">
        <v>56</v>
      </c>
      <c r="E11" s="20" t="s">
        <v>57</v>
      </c>
      <c r="F11" s="20" t="s">
        <v>58</v>
      </c>
      <c r="G11" s="19">
        <v>15</v>
      </c>
      <c r="H11" s="19">
        <v>25</v>
      </c>
      <c r="I11" s="21">
        <v>45474</v>
      </c>
      <c r="N11" s="16">
        <f t="shared" si="0"/>
        <v>375</v>
      </c>
    </row>
    <row r="12" spans="3:14" x14ac:dyDescent="0.2">
      <c r="C12" s="19">
        <v>1004</v>
      </c>
      <c r="D12" s="20" t="s">
        <v>59</v>
      </c>
      <c r="E12" s="20" t="s">
        <v>60</v>
      </c>
      <c r="F12" s="20" t="s">
        <v>52</v>
      </c>
      <c r="G12" s="19">
        <v>5</v>
      </c>
      <c r="H12" s="19">
        <v>50</v>
      </c>
      <c r="I12" s="21">
        <v>45505</v>
      </c>
      <c r="N12" s="16">
        <f t="shared" si="0"/>
        <v>250</v>
      </c>
    </row>
    <row r="13" spans="3:14" x14ac:dyDescent="0.2">
      <c r="C13" s="19">
        <v>1005</v>
      </c>
      <c r="D13" s="20" t="s">
        <v>61</v>
      </c>
      <c r="E13" s="20" t="s">
        <v>51</v>
      </c>
      <c r="F13" s="20" t="s">
        <v>62</v>
      </c>
      <c r="G13" s="19">
        <v>30</v>
      </c>
      <c r="H13" s="19">
        <v>5</v>
      </c>
      <c r="I13" s="21">
        <v>45566</v>
      </c>
      <c r="N13" s="16">
        <f t="shared" si="0"/>
        <v>150</v>
      </c>
    </row>
    <row r="14" spans="3:14" x14ac:dyDescent="0.2">
      <c r="C14" s="19">
        <v>1006</v>
      </c>
      <c r="D14" s="20" t="s">
        <v>63</v>
      </c>
      <c r="E14" s="20" t="s">
        <v>54</v>
      </c>
      <c r="F14" s="20" t="s">
        <v>52</v>
      </c>
      <c r="G14" s="19">
        <v>12</v>
      </c>
      <c r="H14" s="19">
        <v>50</v>
      </c>
      <c r="I14" s="21">
        <v>45597</v>
      </c>
      <c r="N14" s="16">
        <f t="shared" si="0"/>
        <v>600</v>
      </c>
    </row>
    <row r="15" spans="3:14" x14ac:dyDescent="0.2">
      <c r="C15" s="19">
        <v>1007</v>
      </c>
      <c r="D15" s="20" t="s">
        <v>64</v>
      </c>
      <c r="E15" s="20" t="s">
        <v>57</v>
      </c>
      <c r="F15" s="20" t="s">
        <v>65</v>
      </c>
      <c r="G15" s="19">
        <v>25</v>
      </c>
      <c r="H15" s="19">
        <v>8</v>
      </c>
      <c r="I15" s="19" t="s">
        <v>66</v>
      </c>
      <c r="N15" s="16">
        <f t="shared" si="0"/>
        <v>200</v>
      </c>
    </row>
    <row r="16" spans="3:14" x14ac:dyDescent="0.2">
      <c r="C16" s="19">
        <v>1008</v>
      </c>
      <c r="D16" s="20" t="s">
        <v>67</v>
      </c>
      <c r="E16" s="20" t="s">
        <v>60</v>
      </c>
      <c r="F16" s="20" t="s">
        <v>55</v>
      </c>
      <c r="G16" s="19">
        <v>18</v>
      </c>
      <c r="H16" s="19">
        <v>10</v>
      </c>
      <c r="I16" s="19" t="s">
        <v>68</v>
      </c>
      <c r="N16" s="16">
        <f t="shared" si="0"/>
        <v>180</v>
      </c>
    </row>
    <row r="17" spans="3:14" x14ac:dyDescent="0.2">
      <c r="C17" s="19">
        <v>1009</v>
      </c>
      <c r="D17" s="20" t="s">
        <v>69</v>
      </c>
      <c r="E17" s="20" t="s">
        <v>51</v>
      </c>
      <c r="F17" s="20" t="s">
        <v>58</v>
      </c>
      <c r="G17" s="19">
        <v>22</v>
      </c>
      <c r="H17" s="19">
        <v>25</v>
      </c>
      <c r="I17" s="19" t="s">
        <v>70</v>
      </c>
      <c r="N17" s="16">
        <f t="shared" si="0"/>
        <v>550</v>
      </c>
    </row>
    <row r="18" spans="3:14" x14ac:dyDescent="0.2">
      <c r="C18" s="19">
        <v>1010</v>
      </c>
      <c r="D18" s="20" t="s">
        <v>71</v>
      </c>
      <c r="E18" s="20" t="s">
        <v>54</v>
      </c>
      <c r="F18" s="20" t="s">
        <v>52</v>
      </c>
      <c r="G18" s="19">
        <v>8</v>
      </c>
      <c r="H18" s="19">
        <v>50</v>
      </c>
      <c r="I18" s="19" t="s">
        <v>72</v>
      </c>
      <c r="N18" s="16">
        <f t="shared" si="0"/>
        <v>400</v>
      </c>
    </row>
    <row r="19" spans="3:14" x14ac:dyDescent="0.2">
      <c r="C19" s="19">
        <v>1011</v>
      </c>
      <c r="D19" s="20" t="s">
        <v>73</v>
      </c>
      <c r="E19" s="20" t="s">
        <v>57</v>
      </c>
      <c r="F19" s="20" t="s">
        <v>62</v>
      </c>
      <c r="G19" s="19">
        <v>40</v>
      </c>
      <c r="H19" s="19">
        <v>5</v>
      </c>
      <c r="I19" s="19" t="s">
        <v>74</v>
      </c>
      <c r="N19" s="16">
        <f t="shared" si="0"/>
        <v>200</v>
      </c>
    </row>
    <row r="20" spans="3:14" x14ac:dyDescent="0.2">
      <c r="C20" s="19">
        <v>1012</v>
      </c>
      <c r="D20" s="20" t="s">
        <v>75</v>
      </c>
      <c r="E20" s="20" t="s">
        <v>60</v>
      </c>
      <c r="F20" s="20" t="s">
        <v>65</v>
      </c>
      <c r="G20" s="19">
        <v>35</v>
      </c>
      <c r="H20" s="19">
        <v>8</v>
      </c>
      <c r="I20" s="19" t="s">
        <v>76</v>
      </c>
      <c r="N20" s="16">
        <f t="shared" si="0"/>
        <v>280</v>
      </c>
    </row>
    <row r="21" spans="3:14" x14ac:dyDescent="0.2">
      <c r="C21" s="19">
        <v>1013</v>
      </c>
      <c r="D21" s="20" t="s">
        <v>77</v>
      </c>
      <c r="E21" s="20" t="s">
        <v>51</v>
      </c>
      <c r="F21" s="20" t="s">
        <v>52</v>
      </c>
      <c r="G21" s="19">
        <v>14</v>
      </c>
      <c r="H21" s="19">
        <v>50</v>
      </c>
      <c r="I21" s="19" t="s">
        <v>78</v>
      </c>
      <c r="N21" s="16">
        <f t="shared" si="0"/>
        <v>700</v>
      </c>
    </row>
    <row r="22" spans="3:14" x14ac:dyDescent="0.2">
      <c r="C22" s="19">
        <v>1014</v>
      </c>
      <c r="D22" s="20" t="s">
        <v>79</v>
      </c>
      <c r="E22" s="20" t="s">
        <v>54</v>
      </c>
      <c r="F22" s="20" t="s">
        <v>55</v>
      </c>
      <c r="G22" s="19">
        <v>28</v>
      </c>
      <c r="H22" s="19">
        <v>10</v>
      </c>
      <c r="I22" s="19" t="s">
        <v>80</v>
      </c>
      <c r="N22" s="16">
        <f t="shared" si="0"/>
        <v>280</v>
      </c>
    </row>
    <row r="23" spans="3:14" x14ac:dyDescent="0.2">
      <c r="C23" s="19">
        <v>1015</v>
      </c>
      <c r="D23" s="20" t="s">
        <v>81</v>
      </c>
      <c r="E23" s="20" t="s">
        <v>57</v>
      </c>
      <c r="F23" s="20" t="s">
        <v>58</v>
      </c>
      <c r="G23" s="19">
        <v>12</v>
      </c>
      <c r="H23" s="19">
        <v>25</v>
      </c>
      <c r="I23" s="19" t="s">
        <v>82</v>
      </c>
      <c r="N23" s="16">
        <f t="shared" si="0"/>
        <v>300</v>
      </c>
    </row>
    <row r="24" spans="3:14" x14ac:dyDescent="0.2">
      <c r="C24" s="19">
        <v>1016</v>
      </c>
      <c r="D24" s="20" t="s">
        <v>83</v>
      </c>
      <c r="E24" s="20" t="s">
        <v>60</v>
      </c>
      <c r="F24" s="20" t="s">
        <v>62</v>
      </c>
      <c r="G24" s="19">
        <v>25</v>
      </c>
      <c r="H24" s="19">
        <v>5</v>
      </c>
      <c r="I24" s="19" t="s">
        <v>84</v>
      </c>
      <c r="N24" s="16">
        <f t="shared" si="0"/>
        <v>125</v>
      </c>
    </row>
    <row r="25" spans="3:14" x14ac:dyDescent="0.2">
      <c r="C25" s="19">
        <v>1017</v>
      </c>
      <c r="D25" s="20" t="s">
        <v>85</v>
      </c>
      <c r="E25" s="20" t="s">
        <v>51</v>
      </c>
      <c r="F25" s="20" t="s">
        <v>65</v>
      </c>
      <c r="G25" s="19">
        <v>20</v>
      </c>
      <c r="H25" s="19">
        <v>8</v>
      </c>
      <c r="I25" s="19" t="s">
        <v>86</v>
      </c>
      <c r="N25" s="16">
        <f t="shared" si="0"/>
        <v>160</v>
      </c>
    </row>
    <row r="26" spans="3:14" x14ac:dyDescent="0.2">
      <c r="C26" s="19">
        <v>1018</v>
      </c>
      <c r="D26" s="20" t="s">
        <v>87</v>
      </c>
      <c r="E26" s="20" t="s">
        <v>54</v>
      </c>
      <c r="F26" s="20" t="s">
        <v>52</v>
      </c>
      <c r="G26" s="19">
        <v>10</v>
      </c>
      <c r="H26" s="19">
        <v>50</v>
      </c>
      <c r="I26" s="19" t="s">
        <v>88</v>
      </c>
      <c r="N26" s="16">
        <f t="shared" si="0"/>
        <v>500</v>
      </c>
    </row>
    <row r="27" spans="3:14" x14ac:dyDescent="0.2">
      <c r="C27" s="19">
        <v>1019</v>
      </c>
      <c r="D27" s="20" t="s">
        <v>89</v>
      </c>
      <c r="E27" s="20" t="s">
        <v>57</v>
      </c>
      <c r="F27" s="20" t="s">
        <v>55</v>
      </c>
      <c r="G27" s="19">
        <v>15</v>
      </c>
      <c r="H27" s="19">
        <v>10</v>
      </c>
      <c r="I27" s="19" t="s">
        <v>90</v>
      </c>
      <c r="N27" s="16">
        <f t="shared" si="0"/>
        <v>150</v>
      </c>
    </row>
    <row r="28" spans="3:14" x14ac:dyDescent="0.2">
      <c r="C28" s="19">
        <v>1020</v>
      </c>
      <c r="D28" s="20" t="s">
        <v>91</v>
      </c>
      <c r="E28" s="20" t="s">
        <v>60</v>
      </c>
      <c r="F28" s="20" t="s">
        <v>58</v>
      </c>
      <c r="G28" s="19">
        <v>18</v>
      </c>
      <c r="H28" s="19">
        <v>25</v>
      </c>
      <c r="I28" s="21">
        <v>45293</v>
      </c>
      <c r="N28" s="16">
        <f t="shared" si="0"/>
        <v>450</v>
      </c>
    </row>
    <row r="29" spans="3:14" x14ac:dyDescent="0.2">
      <c r="C29" s="19">
        <v>1021</v>
      </c>
      <c r="D29" s="20" t="s">
        <v>92</v>
      </c>
      <c r="E29" s="20" t="s">
        <v>51</v>
      </c>
      <c r="F29" s="20" t="s">
        <v>52</v>
      </c>
      <c r="G29" s="19">
        <v>9</v>
      </c>
      <c r="H29" s="19">
        <v>50</v>
      </c>
      <c r="I29" s="21">
        <v>45324</v>
      </c>
      <c r="N29" s="16">
        <f t="shared" si="0"/>
        <v>450</v>
      </c>
    </row>
    <row r="30" spans="3:14" x14ac:dyDescent="0.2">
      <c r="C30" s="19">
        <v>1022</v>
      </c>
      <c r="D30" s="20" t="s">
        <v>93</v>
      </c>
      <c r="E30" s="20" t="s">
        <v>54</v>
      </c>
      <c r="F30" s="20" t="s">
        <v>62</v>
      </c>
      <c r="G30" s="19">
        <v>35</v>
      </c>
      <c r="H30" s="19">
        <v>5</v>
      </c>
      <c r="I30" s="21">
        <v>45353</v>
      </c>
      <c r="N30" s="16">
        <f t="shared" si="0"/>
        <v>175</v>
      </c>
    </row>
    <row r="31" spans="3:14" x14ac:dyDescent="0.2">
      <c r="C31" s="19">
        <v>1023</v>
      </c>
      <c r="D31" s="20" t="s">
        <v>94</v>
      </c>
      <c r="E31" s="20" t="s">
        <v>57</v>
      </c>
      <c r="F31" s="20" t="s">
        <v>65</v>
      </c>
      <c r="G31" s="19">
        <v>30</v>
      </c>
      <c r="H31" s="19">
        <v>8</v>
      </c>
      <c r="I31" s="21">
        <v>45384</v>
      </c>
      <c r="N31" s="16">
        <f t="shared" si="0"/>
        <v>240</v>
      </c>
    </row>
    <row r="32" spans="3:14" x14ac:dyDescent="0.2">
      <c r="C32" s="19">
        <v>1024</v>
      </c>
      <c r="D32" s="20" t="s">
        <v>95</v>
      </c>
      <c r="E32" s="20" t="s">
        <v>60</v>
      </c>
      <c r="F32" s="20" t="s">
        <v>52</v>
      </c>
      <c r="G32" s="19">
        <v>11</v>
      </c>
      <c r="H32" s="19">
        <v>50</v>
      </c>
      <c r="I32" s="21">
        <v>45445</v>
      </c>
      <c r="N32" s="16">
        <f t="shared" si="0"/>
        <v>550</v>
      </c>
    </row>
    <row r="33" spans="3:14" x14ac:dyDescent="0.2">
      <c r="C33" s="19">
        <v>1025</v>
      </c>
      <c r="D33" s="20" t="s">
        <v>96</v>
      </c>
      <c r="E33" s="20" t="s">
        <v>51</v>
      </c>
      <c r="F33" s="20" t="s">
        <v>55</v>
      </c>
      <c r="G33" s="19">
        <v>14</v>
      </c>
      <c r="H33" s="19">
        <v>10</v>
      </c>
      <c r="I33" s="21">
        <v>45475</v>
      </c>
      <c r="N33" s="16">
        <f t="shared" si="0"/>
        <v>140</v>
      </c>
    </row>
    <row r="34" spans="3:14" x14ac:dyDescent="0.2">
      <c r="C34" s="19">
        <v>1026</v>
      </c>
      <c r="D34" s="20" t="s">
        <v>97</v>
      </c>
      <c r="E34" s="20" t="s">
        <v>54</v>
      </c>
      <c r="F34" s="20" t="s">
        <v>58</v>
      </c>
      <c r="G34" s="19">
        <v>16</v>
      </c>
      <c r="H34" s="19">
        <v>25</v>
      </c>
      <c r="I34" s="21">
        <v>45506</v>
      </c>
      <c r="N34" s="16">
        <f t="shared" si="0"/>
        <v>400</v>
      </c>
    </row>
    <row r="35" spans="3:14" x14ac:dyDescent="0.2">
      <c r="C35" s="19">
        <v>1027</v>
      </c>
      <c r="D35" s="20" t="s">
        <v>98</v>
      </c>
      <c r="E35" s="20" t="s">
        <v>57</v>
      </c>
      <c r="F35" s="20" t="s">
        <v>62</v>
      </c>
      <c r="G35" s="19">
        <v>22</v>
      </c>
      <c r="H35" s="19">
        <v>5</v>
      </c>
      <c r="I35" s="21">
        <v>45537</v>
      </c>
      <c r="N35" s="16">
        <f t="shared" si="0"/>
        <v>110</v>
      </c>
    </row>
    <row r="36" spans="3:14" x14ac:dyDescent="0.2">
      <c r="C36" s="19">
        <v>1028</v>
      </c>
      <c r="D36" s="20" t="s">
        <v>99</v>
      </c>
      <c r="E36" s="20" t="s">
        <v>60</v>
      </c>
      <c r="F36" s="20" t="s">
        <v>65</v>
      </c>
      <c r="G36" s="19">
        <v>27</v>
      </c>
      <c r="H36" s="19">
        <v>8</v>
      </c>
      <c r="I36" s="21">
        <v>45567</v>
      </c>
      <c r="N36" s="16">
        <f t="shared" si="0"/>
        <v>216</v>
      </c>
    </row>
    <row r="37" spans="3:14" x14ac:dyDescent="0.2">
      <c r="C37" s="19">
        <v>1029</v>
      </c>
      <c r="D37" s="20" t="s">
        <v>100</v>
      </c>
      <c r="E37" s="20" t="s">
        <v>51</v>
      </c>
      <c r="F37" s="20" t="s">
        <v>52</v>
      </c>
      <c r="G37" s="19">
        <v>13</v>
      </c>
      <c r="H37" s="19">
        <v>50</v>
      </c>
      <c r="I37" s="21">
        <v>45628</v>
      </c>
      <c r="N37" s="16">
        <f t="shared" si="0"/>
        <v>650</v>
      </c>
    </row>
    <row r="38" spans="3:14" x14ac:dyDescent="0.2">
      <c r="C38" s="19">
        <v>1030</v>
      </c>
      <c r="D38" s="20" t="s">
        <v>101</v>
      </c>
      <c r="E38" s="20" t="s">
        <v>54</v>
      </c>
      <c r="F38" s="20" t="s">
        <v>55</v>
      </c>
      <c r="G38" s="19">
        <v>32</v>
      </c>
      <c r="H38" s="19">
        <v>10</v>
      </c>
      <c r="I38" s="19" t="s">
        <v>102</v>
      </c>
      <c r="N38" s="16">
        <f t="shared" si="0"/>
        <v>320</v>
      </c>
    </row>
    <row r="39" spans="3:14" x14ac:dyDescent="0.2">
      <c r="C39" s="19">
        <v>1031</v>
      </c>
      <c r="D39" s="20" t="s">
        <v>103</v>
      </c>
      <c r="E39" s="20" t="s">
        <v>57</v>
      </c>
      <c r="F39" s="20" t="s">
        <v>58</v>
      </c>
      <c r="G39" s="19">
        <v>10</v>
      </c>
      <c r="H39" s="19">
        <v>25</v>
      </c>
      <c r="I39" s="19" t="s">
        <v>104</v>
      </c>
      <c r="N39" s="16">
        <f t="shared" si="0"/>
        <v>250</v>
      </c>
    </row>
    <row r="40" spans="3:14" x14ac:dyDescent="0.2">
      <c r="C40" s="19">
        <v>1032</v>
      </c>
      <c r="D40" s="20" t="s">
        <v>105</v>
      </c>
      <c r="E40" s="20" t="s">
        <v>60</v>
      </c>
      <c r="F40" s="20" t="s">
        <v>62</v>
      </c>
      <c r="G40" s="19">
        <v>18</v>
      </c>
      <c r="H40" s="19">
        <v>5</v>
      </c>
      <c r="I40" s="19" t="s">
        <v>106</v>
      </c>
      <c r="N40" s="16">
        <f t="shared" si="0"/>
        <v>90</v>
      </c>
    </row>
    <row r="41" spans="3:14" x14ac:dyDescent="0.2">
      <c r="C41" s="19">
        <v>1033</v>
      </c>
      <c r="D41" s="20" t="s">
        <v>107</v>
      </c>
      <c r="E41" s="20" t="s">
        <v>51</v>
      </c>
      <c r="F41" s="20" t="s">
        <v>65</v>
      </c>
      <c r="G41" s="19">
        <v>22</v>
      </c>
      <c r="H41" s="19">
        <v>8</v>
      </c>
      <c r="I41" s="19" t="s">
        <v>108</v>
      </c>
      <c r="N41" s="16">
        <f t="shared" si="0"/>
        <v>176</v>
      </c>
    </row>
    <row r="42" spans="3:14" x14ac:dyDescent="0.2">
      <c r="C42" s="19">
        <v>1034</v>
      </c>
      <c r="D42" s="20" t="s">
        <v>109</v>
      </c>
      <c r="E42" s="20" t="s">
        <v>54</v>
      </c>
      <c r="F42" s="20" t="s">
        <v>52</v>
      </c>
      <c r="G42" s="19">
        <v>17</v>
      </c>
      <c r="H42" s="19">
        <v>50</v>
      </c>
      <c r="I42" s="19" t="s">
        <v>110</v>
      </c>
      <c r="N42" s="16">
        <f t="shared" si="0"/>
        <v>850</v>
      </c>
    </row>
    <row r="43" spans="3:14" x14ac:dyDescent="0.2">
      <c r="C43" s="19">
        <v>1035</v>
      </c>
      <c r="D43" s="20" t="s">
        <v>111</v>
      </c>
      <c r="E43" s="20" t="s">
        <v>57</v>
      </c>
      <c r="F43" s="20" t="s">
        <v>55</v>
      </c>
      <c r="G43" s="19">
        <v>19</v>
      </c>
      <c r="H43" s="19">
        <v>10</v>
      </c>
      <c r="I43" s="19" t="s">
        <v>112</v>
      </c>
      <c r="N43" s="16">
        <f t="shared" si="0"/>
        <v>190</v>
      </c>
    </row>
    <row r="44" spans="3:14" x14ac:dyDescent="0.2">
      <c r="C44" s="19">
        <v>1036</v>
      </c>
      <c r="D44" s="20" t="s">
        <v>113</v>
      </c>
      <c r="E44" s="20" t="s">
        <v>60</v>
      </c>
      <c r="F44" s="20" t="s">
        <v>58</v>
      </c>
      <c r="G44" s="19">
        <v>15</v>
      </c>
      <c r="H44" s="19">
        <v>25</v>
      </c>
      <c r="I44" s="19" t="s">
        <v>114</v>
      </c>
      <c r="N44" s="16">
        <f t="shared" si="0"/>
        <v>375</v>
      </c>
    </row>
    <row r="45" spans="3:14" x14ac:dyDescent="0.2">
      <c r="C45" s="19">
        <v>1037</v>
      </c>
      <c r="D45" s="20" t="s">
        <v>115</v>
      </c>
      <c r="E45" s="20" t="s">
        <v>51</v>
      </c>
      <c r="F45" s="20" t="s">
        <v>62</v>
      </c>
      <c r="G45" s="19">
        <v>28</v>
      </c>
      <c r="H45" s="19">
        <v>5</v>
      </c>
      <c r="I45" s="19" t="s">
        <v>116</v>
      </c>
      <c r="N45" s="16">
        <f t="shared" si="0"/>
        <v>140</v>
      </c>
    </row>
    <row r="46" spans="3:14" x14ac:dyDescent="0.2">
      <c r="C46" s="19">
        <v>1038</v>
      </c>
      <c r="D46" s="20" t="s">
        <v>117</v>
      </c>
      <c r="E46" s="20" t="s">
        <v>54</v>
      </c>
      <c r="F46" s="20" t="s">
        <v>65</v>
      </c>
      <c r="G46" s="19">
        <v>24</v>
      </c>
      <c r="H46" s="19">
        <v>8</v>
      </c>
      <c r="I46" s="19" t="s">
        <v>118</v>
      </c>
      <c r="N46" s="16">
        <f t="shared" si="0"/>
        <v>192</v>
      </c>
    </row>
    <row r="47" spans="3:14" x14ac:dyDescent="0.2">
      <c r="C47" s="19">
        <v>1039</v>
      </c>
      <c r="D47" s="20" t="s">
        <v>119</v>
      </c>
      <c r="E47" s="20" t="s">
        <v>57</v>
      </c>
      <c r="F47" s="20" t="s">
        <v>52</v>
      </c>
      <c r="G47" s="19">
        <v>16</v>
      </c>
      <c r="H47" s="19">
        <v>50</v>
      </c>
      <c r="I47" s="19" t="s">
        <v>120</v>
      </c>
      <c r="N47" s="16">
        <f t="shared" si="0"/>
        <v>800</v>
      </c>
    </row>
    <row r="48" spans="3:14" x14ac:dyDescent="0.2">
      <c r="C48" s="19">
        <v>1040</v>
      </c>
      <c r="D48" s="20" t="s">
        <v>121</v>
      </c>
      <c r="E48" s="20" t="s">
        <v>60</v>
      </c>
      <c r="F48" s="20" t="s">
        <v>55</v>
      </c>
      <c r="G48" s="19">
        <v>27</v>
      </c>
      <c r="H48" s="19">
        <v>10</v>
      </c>
      <c r="I48" s="19" t="s">
        <v>122</v>
      </c>
      <c r="N48" s="16">
        <f t="shared" si="0"/>
        <v>270</v>
      </c>
    </row>
    <row r="49" spans="3:14" x14ac:dyDescent="0.2">
      <c r="C49" s="19">
        <v>1041</v>
      </c>
      <c r="D49" s="20" t="s">
        <v>123</v>
      </c>
      <c r="E49" s="20" t="s">
        <v>51</v>
      </c>
      <c r="F49" s="20" t="s">
        <v>58</v>
      </c>
      <c r="G49" s="19">
        <v>21</v>
      </c>
      <c r="H49" s="19">
        <v>25</v>
      </c>
      <c r="I49" s="19" t="s">
        <v>124</v>
      </c>
      <c r="N49" s="16">
        <f t="shared" si="0"/>
        <v>525</v>
      </c>
    </row>
    <row r="50" spans="3:14" x14ac:dyDescent="0.2">
      <c r="C50" s="19">
        <v>1042</v>
      </c>
      <c r="D50" s="20" t="s">
        <v>125</v>
      </c>
      <c r="E50" s="20" t="s">
        <v>54</v>
      </c>
      <c r="F50" s="20" t="s">
        <v>62</v>
      </c>
      <c r="G50" s="19">
        <v>30</v>
      </c>
      <c r="H50" s="19">
        <v>5</v>
      </c>
      <c r="I50" s="19" t="s">
        <v>126</v>
      </c>
      <c r="N50" s="16">
        <f t="shared" si="0"/>
        <v>150</v>
      </c>
    </row>
    <row r="51" spans="3:14" x14ac:dyDescent="0.2">
      <c r="C51" s="19">
        <v>1043</v>
      </c>
      <c r="D51" s="20" t="s">
        <v>127</v>
      </c>
      <c r="E51" s="20" t="s">
        <v>57</v>
      </c>
      <c r="F51" s="20" t="s">
        <v>65</v>
      </c>
      <c r="G51" s="19">
        <v>26</v>
      </c>
      <c r="H51" s="19">
        <v>8</v>
      </c>
      <c r="I51" s="21">
        <v>45294</v>
      </c>
      <c r="N51" s="16">
        <f t="shared" si="0"/>
        <v>208</v>
      </c>
    </row>
    <row r="52" spans="3:14" x14ac:dyDescent="0.2">
      <c r="C52" s="19">
        <v>1044</v>
      </c>
      <c r="D52" s="20" t="s">
        <v>128</v>
      </c>
      <c r="E52" s="20" t="s">
        <v>60</v>
      </c>
      <c r="F52" s="20" t="s">
        <v>52</v>
      </c>
      <c r="G52" s="19">
        <v>14</v>
      </c>
      <c r="H52" s="19">
        <v>50</v>
      </c>
      <c r="I52" s="21">
        <v>45325</v>
      </c>
      <c r="N52" s="16">
        <f t="shared" si="0"/>
        <v>700</v>
      </c>
    </row>
    <row r="53" spans="3:14" x14ac:dyDescent="0.2">
      <c r="C53" s="19">
        <v>1045</v>
      </c>
      <c r="D53" s="20" t="s">
        <v>129</v>
      </c>
      <c r="E53" s="20" t="s">
        <v>51</v>
      </c>
      <c r="F53" s="20" t="s">
        <v>55</v>
      </c>
      <c r="G53" s="19">
        <v>20</v>
      </c>
      <c r="H53" s="19">
        <v>10</v>
      </c>
      <c r="I53" s="21">
        <v>45354</v>
      </c>
      <c r="N53" s="16">
        <f t="shared" si="0"/>
        <v>200</v>
      </c>
    </row>
    <row r="54" spans="3:14" x14ac:dyDescent="0.2">
      <c r="C54" s="19">
        <v>1046</v>
      </c>
      <c r="D54" s="20" t="s">
        <v>130</v>
      </c>
      <c r="E54" s="20" t="s">
        <v>54</v>
      </c>
      <c r="F54" s="20" t="s">
        <v>58</v>
      </c>
      <c r="G54" s="19">
        <v>17</v>
      </c>
      <c r="H54" s="19">
        <v>25</v>
      </c>
      <c r="I54" s="21">
        <v>45385</v>
      </c>
      <c r="N54" s="16">
        <f t="shared" si="0"/>
        <v>425</v>
      </c>
    </row>
    <row r="55" spans="3:14" x14ac:dyDescent="0.2">
      <c r="C55" s="19">
        <v>1047</v>
      </c>
      <c r="D55" s="20" t="s">
        <v>131</v>
      </c>
      <c r="E55" s="20" t="s">
        <v>57</v>
      </c>
      <c r="F55" s="20" t="s">
        <v>62</v>
      </c>
      <c r="G55" s="19">
        <v>19</v>
      </c>
      <c r="H55" s="19">
        <v>5</v>
      </c>
      <c r="I55" s="21">
        <v>45415</v>
      </c>
      <c r="N55" s="16">
        <f t="shared" si="0"/>
        <v>95</v>
      </c>
    </row>
    <row r="56" spans="3:14" x14ac:dyDescent="0.2">
      <c r="C56" s="19">
        <v>1048</v>
      </c>
      <c r="D56" s="20" t="s">
        <v>132</v>
      </c>
      <c r="E56" s="20" t="s">
        <v>60</v>
      </c>
      <c r="F56" s="20" t="s">
        <v>65</v>
      </c>
      <c r="G56" s="19">
        <v>32</v>
      </c>
      <c r="H56" s="19">
        <v>8</v>
      </c>
      <c r="I56" s="21">
        <v>45446</v>
      </c>
      <c r="N56" s="16">
        <f t="shared" si="0"/>
        <v>256</v>
      </c>
    </row>
    <row r="57" spans="3:14" x14ac:dyDescent="0.2">
      <c r="C57" s="19">
        <v>1049</v>
      </c>
      <c r="D57" s="20" t="s">
        <v>133</v>
      </c>
      <c r="E57" s="20" t="s">
        <v>51</v>
      </c>
      <c r="F57" s="20" t="s">
        <v>52</v>
      </c>
      <c r="G57" s="19">
        <v>12</v>
      </c>
      <c r="H57" s="19">
        <v>50</v>
      </c>
      <c r="I57" s="21">
        <v>45476</v>
      </c>
      <c r="N57" s="16">
        <f t="shared" si="0"/>
        <v>600</v>
      </c>
    </row>
    <row r="58" spans="3:14" x14ac:dyDescent="0.2">
      <c r="C58" s="19">
        <v>1050</v>
      </c>
      <c r="D58" s="20" t="s">
        <v>134</v>
      </c>
      <c r="E58" s="20" t="s">
        <v>54</v>
      </c>
      <c r="F58" s="20" t="s">
        <v>55</v>
      </c>
      <c r="G58" s="19">
        <v>25</v>
      </c>
      <c r="H58" s="19">
        <v>10</v>
      </c>
      <c r="I58" s="21">
        <v>45507</v>
      </c>
      <c r="N58" s="16">
        <f t="shared" si="0"/>
        <v>250</v>
      </c>
    </row>
  </sheetData>
  <mergeCells count="1">
    <mergeCell ref="C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N57"/>
  <sheetViews>
    <sheetView tabSelected="1" workbookViewId="0">
      <selection activeCell="P13" sqref="P13"/>
    </sheetView>
  </sheetViews>
  <sheetFormatPr defaultRowHeight="15" x14ac:dyDescent="0.2"/>
  <cols>
    <col min="4" max="4" width="14.2578125" bestFit="1" customWidth="1"/>
    <col min="9" max="9" width="10.35546875" bestFit="1" customWidth="1"/>
  </cols>
  <sheetData>
    <row r="3" spans="3:14" x14ac:dyDescent="0.2">
      <c r="D3" s="32" t="s">
        <v>136</v>
      </c>
      <c r="E3" s="35"/>
      <c r="F3" s="35"/>
      <c r="G3" s="35"/>
      <c r="H3" s="35"/>
      <c r="I3" s="35"/>
      <c r="J3" s="35"/>
      <c r="K3" s="35"/>
      <c r="L3" s="35"/>
      <c r="M3" s="35"/>
      <c r="N3" s="35"/>
    </row>
    <row r="7" spans="3:14" ht="18.75" x14ac:dyDescent="0.25">
      <c r="C7" s="18" t="s">
        <v>43</v>
      </c>
      <c r="D7" s="18" t="s">
        <v>44</v>
      </c>
      <c r="E7" s="18" t="s">
        <v>45</v>
      </c>
      <c r="F7" s="18" t="s">
        <v>46</v>
      </c>
      <c r="G7" s="18" t="s">
        <v>47</v>
      </c>
      <c r="H7" s="18" t="s">
        <v>48</v>
      </c>
      <c r="I7" s="18" t="s">
        <v>49</v>
      </c>
      <c r="J7" s="25" t="s">
        <v>140</v>
      </c>
      <c r="L7" s="27" t="s">
        <v>3</v>
      </c>
      <c r="M7" s="28">
        <f>SUMIFS(J8:J57,F8:F57,"Notebook",E8:E57,"North")</f>
        <v>2900</v>
      </c>
    </row>
    <row r="8" spans="3:14" x14ac:dyDescent="0.2">
      <c r="C8" s="19">
        <v>1001</v>
      </c>
      <c r="D8" s="20" t="s">
        <v>50</v>
      </c>
      <c r="E8" s="20" t="s">
        <v>51</v>
      </c>
      <c r="F8" s="20" t="s">
        <v>52</v>
      </c>
      <c r="G8" s="19">
        <v>10</v>
      </c>
      <c r="H8" s="19">
        <v>50</v>
      </c>
      <c r="I8" s="21">
        <v>45413</v>
      </c>
      <c r="J8" s="26">
        <f>PRODUCT(H8,G8)</f>
        <v>500</v>
      </c>
    </row>
    <row r="9" spans="3:14" x14ac:dyDescent="0.2">
      <c r="C9" s="19">
        <v>1002</v>
      </c>
      <c r="D9" s="20" t="s">
        <v>53</v>
      </c>
      <c r="E9" s="20" t="s">
        <v>54</v>
      </c>
      <c r="F9" s="20" t="s">
        <v>55</v>
      </c>
      <c r="G9" s="19">
        <v>20</v>
      </c>
      <c r="H9" s="19">
        <v>10</v>
      </c>
      <c r="I9" s="21">
        <v>45444</v>
      </c>
      <c r="J9" s="26">
        <f t="shared" ref="J9:J57" si="0">PRODUCT(H9,G9)</f>
        <v>200</v>
      </c>
    </row>
    <row r="10" spans="3:14" x14ac:dyDescent="0.2">
      <c r="C10" s="19">
        <v>1003</v>
      </c>
      <c r="D10" s="20" t="s">
        <v>56</v>
      </c>
      <c r="E10" s="20" t="s">
        <v>57</v>
      </c>
      <c r="F10" s="20" t="s">
        <v>58</v>
      </c>
      <c r="G10" s="19">
        <v>15</v>
      </c>
      <c r="H10" s="19">
        <v>25</v>
      </c>
      <c r="I10" s="21">
        <v>45474</v>
      </c>
      <c r="J10" s="26">
        <f t="shared" si="0"/>
        <v>375</v>
      </c>
    </row>
    <row r="11" spans="3:14" x14ac:dyDescent="0.2">
      <c r="C11" s="19">
        <v>1004</v>
      </c>
      <c r="D11" s="20" t="s">
        <v>59</v>
      </c>
      <c r="E11" s="20" t="s">
        <v>60</v>
      </c>
      <c r="F11" s="20" t="s">
        <v>52</v>
      </c>
      <c r="G11" s="19">
        <v>5</v>
      </c>
      <c r="H11" s="19">
        <v>50</v>
      </c>
      <c r="I11" s="21">
        <v>45505</v>
      </c>
      <c r="J11" s="26">
        <f t="shared" si="0"/>
        <v>250</v>
      </c>
    </row>
    <row r="12" spans="3:14" x14ac:dyDescent="0.2">
      <c r="C12" s="19">
        <v>1005</v>
      </c>
      <c r="D12" s="20" t="s">
        <v>61</v>
      </c>
      <c r="E12" s="20" t="s">
        <v>51</v>
      </c>
      <c r="F12" s="20" t="s">
        <v>62</v>
      </c>
      <c r="G12" s="19">
        <v>30</v>
      </c>
      <c r="H12" s="19">
        <v>5</v>
      </c>
      <c r="I12" s="21">
        <v>45566</v>
      </c>
      <c r="J12" s="26">
        <f t="shared" si="0"/>
        <v>150</v>
      </c>
    </row>
    <row r="13" spans="3:14" x14ac:dyDescent="0.2">
      <c r="C13" s="19">
        <v>1006</v>
      </c>
      <c r="D13" s="20" t="s">
        <v>63</v>
      </c>
      <c r="E13" s="20" t="s">
        <v>54</v>
      </c>
      <c r="F13" s="20" t="s">
        <v>52</v>
      </c>
      <c r="G13" s="19">
        <v>12</v>
      </c>
      <c r="H13" s="19">
        <v>50</v>
      </c>
      <c r="I13" s="21">
        <v>45597</v>
      </c>
      <c r="J13" s="26">
        <f t="shared" si="0"/>
        <v>600</v>
      </c>
    </row>
    <row r="14" spans="3:14" x14ac:dyDescent="0.2">
      <c r="C14" s="19">
        <v>1007</v>
      </c>
      <c r="D14" s="20" t="s">
        <v>64</v>
      </c>
      <c r="E14" s="20" t="s">
        <v>57</v>
      </c>
      <c r="F14" s="20" t="s">
        <v>65</v>
      </c>
      <c r="G14" s="19">
        <v>25</v>
      </c>
      <c r="H14" s="19">
        <v>8</v>
      </c>
      <c r="I14" s="19" t="s">
        <v>66</v>
      </c>
      <c r="J14" s="26">
        <f t="shared" si="0"/>
        <v>200</v>
      </c>
    </row>
    <row r="15" spans="3:14" x14ac:dyDescent="0.2">
      <c r="C15" s="19">
        <v>1008</v>
      </c>
      <c r="D15" s="20" t="s">
        <v>67</v>
      </c>
      <c r="E15" s="20" t="s">
        <v>60</v>
      </c>
      <c r="F15" s="20" t="s">
        <v>55</v>
      </c>
      <c r="G15" s="19">
        <v>18</v>
      </c>
      <c r="H15" s="19">
        <v>10</v>
      </c>
      <c r="I15" s="19" t="s">
        <v>68</v>
      </c>
      <c r="J15" s="26">
        <f t="shared" si="0"/>
        <v>180</v>
      </c>
    </row>
    <row r="16" spans="3:14" x14ac:dyDescent="0.2">
      <c r="C16" s="19">
        <v>1009</v>
      </c>
      <c r="D16" s="20" t="s">
        <v>69</v>
      </c>
      <c r="E16" s="20" t="s">
        <v>51</v>
      </c>
      <c r="F16" s="20" t="s">
        <v>58</v>
      </c>
      <c r="G16" s="19">
        <v>22</v>
      </c>
      <c r="H16" s="19">
        <v>25</v>
      </c>
      <c r="I16" s="19" t="s">
        <v>70</v>
      </c>
      <c r="J16" s="26">
        <f t="shared" si="0"/>
        <v>550</v>
      </c>
    </row>
    <row r="17" spans="3:10" x14ac:dyDescent="0.2">
      <c r="C17" s="19">
        <v>1010</v>
      </c>
      <c r="D17" s="20" t="s">
        <v>71</v>
      </c>
      <c r="E17" s="20" t="s">
        <v>54</v>
      </c>
      <c r="F17" s="20" t="s">
        <v>52</v>
      </c>
      <c r="G17" s="19">
        <v>8</v>
      </c>
      <c r="H17" s="19">
        <v>50</v>
      </c>
      <c r="I17" s="19" t="s">
        <v>72</v>
      </c>
      <c r="J17" s="26">
        <f t="shared" si="0"/>
        <v>400</v>
      </c>
    </row>
    <row r="18" spans="3:10" x14ac:dyDescent="0.2">
      <c r="C18" s="19">
        <v>1011</v>
      </c>
      <c r="D18" s="20" t="s">
        <v>73</v>
      </c>
      <c r="E18" s="20" t="s">
        <v>57</v>
      </c>
      <c r="F18" s="20" t="s">
        <v>62</v>
      </c>
      <c r="G18" s="19">
        <v>40</v>
      </c>
      <c r="H18" s="19">
        <v>5</v>
      </c>
      <c r="I18" s="19" t="s">
        <v>74</v>
      </c>
      <c r="J18" s="26">
        <f t="shared" si="0"/>
        <v>200</v>
      </c>
    </row>
    <row r="19" spans="3:10" x14ac:dyDescent="0.2">
      <c r="C19" s="19">
        <v>1012</v>
      </c>
      <c r="D19" s="20" t="s">
        <v>75</v>
      </c>
      <c r="E19" s="20" t="s">
        <v>60</v>
      </c>
      <c r="F19" s="20" t="s">
        <v>65</v>
      </c>
      <c r="G19" s="19">
        <v>35</v>
      </c>
      <c r="H19" s="19">
        <v>8</v>
      </c>
      <c r="I19" s="19" t="s">
        <v>76</v>
      </c>
      <c r="J19" s="26">
        <f t="shared" si="0"/>
        <v>280</v>
      </c>
    </row>
    <row r="20" spans="3:10" x14ac:dyDescent="0.2">
      <c r="C20" s="19">
        <v>1013</v>
      </c>
      <c r="D20" s="20" t="s">
        <v>77</v>
      </c>
      <c r="E20" s="20" t="s">
        <v>51</v>
      </c>
      <c r="F20" s="20" t="s">
        <v>52</v>
      </c>
      <c r="G20" s="19">
        <v>14</v>
      </c>
      <c r="H20" s="19">
        <v>50</v>
      </c>
      <c r="I20" s="19" t="s">
        <v>78</v>
      </c>
      <c r="J20" s="26">
        <f t="shared" si="0"/>
        <v>700</v>
      </c>
    </row>
    <row r="21" spans="3:10" x14ac:dyDescent="0.2">
      <c r="C21" s="19">
        <v>1014</v>
      </c>
      <c r="D21" s="20" t="s">
        <v>79</v>
      </c>
      <c r="E21" s="20" t="s">
        <v>54</v>
      </c>
      <c r="F21" s="20" t="s">
        <v>55</v>
      </c>
      <c r="G21" s="19">
        <v>28</v>
      </c>
      <c r="H21" s="19">
        <v>10</v>
      </c>
      <c r="I21" s="19" t="s">
        <v>80</v>
      </c>
      <c r="J21" s="26">
        <f t="shared" si="0"/>
        <v>280</v>
      </c>
    </row>
    <row r="22" spans="3:10" x14ac:dyDescent="0.2">
      <c r="C22" s="19">
        <v>1015</v>
      </c>
      <c r="D22" s="20" t="s">
        <v>81</v>
      </c>
      <c r="E22" s="20" t="s">
        <v>57</v>
      </c>
      <c r="F22" s="20" t="s">
        <v>58</v>
      </c>
      <c r="G22" s="19">
        <v>12</v>
      </c>
      <c r="H22" s="19">
        <v>25</v>
      </c>
      <c r="I22" s="19" t="s">
        <v>82</v>
      </c>
      <c r="J22" s="26">
        <f t="shared" si="0"/>
        <v>300</v>
      </c>
    </row>
    <row r="23" spans="3:10" x14ac:dyDescent="0.2">
      <c r="C23" s="19">
        <v>1016</v>
      </c>
      <c r="D23" s="20" t="s">
        <v>83</v>
      </c>
      <c r="E23" s="20" t="s">
        <v>60</v>
      </c>
      <c r="F23" s="20" t="s">
        <v>62</v>
      </c>
      <c r="G23" s="19">
        <v>25</v>
      </c>
      <c r="H23" s="19">
        <v>5</v>
      </c>
      <c r="I23" s="19" t="s">
        <v>84</v>
      </c>
      <c r="J23" s="26">
        <f t="shared" si="0"/>
        <v>125</v>
      </c>
    </row>
    <row r="24" spans="3:10" x14ac:dyDescent="0.2">
      <c r="C24" s="19">
        <v>1017</v>
      </c>
      <c r="D24" s="20" t="s">
        <v>85</v>
      </c>
      <c r="E24" s="20" t="s">
        <v>51</v>
      </c>
      <c r="F24" s="20" t="s">
        <v>65</v>
      </c>
      <c r="G24" s="19">
        <v>20</v>
      </c>
      <c r="H24" s="19">
        <v>8</v>
      </c>
      <c r="I24" s="19" t="s">
        <v>86</v>
      </c>
      <c r="J24" s="26">
        <f t="shared" si="0"/>
        <v>160</v>
      </c>
    </row>
    <row r="25" spans="3:10" x14ac:dyDescent="0.2">
      <c r="C25" s="19">
        <v>1018</v>
      </c>
      <c r="D25" s="20" t="s">
        <v>87</v>
      </c>
      <c r="E25" s="20" t="s">
        <v>54</v>
      </c>
      <c r="F25" s="20" t="s">
        <v>52</v>
      </c>
      <c r="G25" s="19">
        <v>10</v>
      </c>
      <c r="H25" s="19">
        <v>50</v>
      </c>
      <c r="I25" s="19" t="s">
        <v>88</v>
      </c>
      <c r="J25" s="26">
        <f t="shared" si="0"/>
        <v>500</v>
      </c>
    </row>
    <row r="26" spans="3:10" x14ac:dyDescent="0.2">
      <c r="C26" s="19">
        <v>1019</v>
      </c>
      <c r="D26" s="20" t="s">
        <v>89</v>
      </c>
      <c r="E26" s="20" t="s">
        <v>57</v>
      </c>
      <c r="F26" s="20" t="s">
        <v>55</v>
      </c>
      <c r="G26" s="19">
        <v>15</v>
      </c>
      <c r="H26" s="19">
        <v>10</v>
      </c>
      <c r="I26" s="19" t="s">
        <v>90</v>
      </c>
      <c r="J26" s="26">
        <f t="shared" si="0"/>
        <v>150</v>
      </c>
    </row>
    <row r="27" spans="3:10" x14ac:dyDescent="0.2">
      <c r="C27" s="19">
        <v>1020</v>
      </c>
      <c r="D27" s="20" t="s">
        <v>91</v>
      </c>
      <c r="E27" s="20" t="s">
        <v>60</v>
      </c>
      <c r="F27" s="20" t="s">
        <v>58</v>
      </c>
      <c r="G27" s="19">
        <v>18</v>
      </c>
      <c r="H27" s="19">
        <v>25</v>
      </c>
      <c r="I27" s="21">
        <v>45293</v>
      </c>
      <c r="J27" s="26">
        <f t="shared" si="0"/>
        <v>450</v>
      </c>
    </row>
    <row r="28" spans="3:10" x14ac:dyDescent="0.2">
      <c r="C28" s="19">
        <v>1021</v>
      </c>
      <c r="D28" s="20" t="s">
        <v>92</v>
      </c>
      <c r="E28" s="20" t="s">
        <v>51</v>
      </c>
      <c r="F28" s="20" t="s">
        <v>52</v>
      </c>
      <c r="G28" s="19">
        <v>9</v>
      </c>
      <c r="H28" s="19">
        <v>50</v>
      </c>
      <c r="I28" s="21">
        <v>45324</v>
      </c>
      <c r="J28" s="26">
        <f t="shared" si="0"/>
        <v>450</v>
      </c>
    </row>
    <row r="29" spans="3:10" x14ac:dyDescent="0.2">
      <c r="C29" s="19">
        <v>1022</v>
      </c>
      <c r="D29" s="20" t="s">
        <v>93</v>
      </c>
      <c r="E29" s="20" t="s">
        <v>54</v>
      </c>
      <c r="F29" s="20" t="s">
        <v>62</v>
      </c>
      <c r="G29" s="19">
        <v>35</v>
      </c>
      <c r="H29" s="19">
        <v>5</v>
      </c>
      <c r="I29" s="21">
        <v>45353</v>
      </c>
      <c r="J29" s="26">
        <f t="shared" si="0"/>
        <v>175</v>
      </c>
    </row>
    <row r="30" spans="3:10" x14ac:dyDescent="0.2">
      <c r="C30" s="19">
        <v>1023</v>
      </c>
      <c r="D30" s="20" t="s">
        <v>94</v>
      </c>
      <c r="E30" s="20" t="s">
        <v>57</v>
      </c>
      <c r="F30" s="20" t="s">
        <v>65</v>
      </c>
      <c r="G30" s="19">
        <v>30</v>
      </c>
      <c r="H30" s="19">
        <v>8</v>
      </c>
      <c r="I30" s="21">
        <v>45384</v>
      </c>
      <c r="J30" s="26">
        <f t="shared" si="0"/>
        <v>240</v>
      </c>
    </row>
    <row r="31" spans="3:10" x14ac:dyDescent="0.2">
      <c r="C31" s="19">
        <v>1024</v>
      </c>
      <c r="D31" s="20" t="s">
        <v>95</v>
      </c>
      <c r="E31" s="20" t="s">
        <v>60</v>
      </c>
      <c r="F31" s="20" t="s">
        <v>52</v>
      </c>
      <c r="G31" s="19">
        <v>11</v>
      </c>
      <c r="H31" s="19">
        <v>50</v>
      </c>
      <c r="I31" s="21">
        <v>45445</v>
      </c>
      <c r="J31" s="26">
        <f t="shared" si="0"/>
        <v>550</v>
      </c>
    </row>
    <row r="32" spans="3:10" x14ac:dyDescent="0.2">
      <c r="C32" s="19">
        <v>1025</v>
      </c>
      <c r="D32" s="20" t="s">
        <v>96</v>
      </c>
      <c r="E32" s="20" t="s">
        <v>51</v>
      </c>
      <c r="F32" s="20" t="s">
        <v>55</v>
      </c>
      <c r="G32" s="19">
        <v>14</v>
      </c>
      <c r="H32" s="19">
        <v>10</v>
      </c>
      <c r="I32" s="21">
        <v>45475</v>
      </c>
      <c r="J32" s="26">
        <f t="shared" si="0"/>
        <v>140</v>
      </c>
    </row>
    <row r="33" spans="3:10" x14ac:dyDescent="0.2">
      <c r="C33" s="19">
        <v>1026</v>
      </c>
      <c r="D33" s="20" t="s">
        <v>97</v>
      </c>
      <c r="E33" s="20" t="s">
        <v>54</v>
      </c>
      <c r="F33" s="20" t="s">
        <v>58</v>
      </c>
      <c r="G33" s="19">
        <v>16</v>
      </c>
      <c r="H33" s="19">
        <v>25</v>
      </c>
      <c r="I33" s="21">
        <v>45506</v>
      </c>
      <c r="J33" s="26">
        <f t="shared" si="0"/>
        <v>400</v>
      </c>
    </row>
    <row r="34" spans="3:10" x14ac:dyDescent="0.2">
      <c r="C34" s="19">
        <v>1027</v>
      </c>
      <c r="D34" s="20" t="s">
        <v>98</v>
      </c>
      <c r="E34" s="20" t="s">
        <v>57</v>
      </c>
      <c r="F34" s="20" t="s">
        <v>62</v>
      </c>
      <c r="G34" s="19">
        <v>22</v>
      </c>
      <c r="H34" s="19">
        <v>5</v>
      </c>
      <c r="I34" s="21">
        <v>45537</v>
      </c>
      <c r="J34" s="26">
        <f t="shared" si="0"/>
        <v>110</v>
      </c>
    </row>
    <row r="35" spans="3:10" x14ac:dyDescent="0.2">
      <c r="C35" s="19">
        <v>1028</v>
      </c>
      <c r="D35" s="20" t="s">
        <v>99</v>
      </c>
      <c r="E35" s="20" t="s">
        <v>60</v>
      </c>
      <c r="F35" s="20" t="s">
        <v>65</v>
      </c>
      <c r="G35" s="19">
        <v>27</v>
      </c>
      <c r="H35" s="19">
        <v>8</v>
      </c>
      <c r="I35" s="21">
        <v>45567</v>
      </c>
      <c r="J35" s="26">
        <f t="shared" si="0"/>
        <v>216</v>
      </c>
    </row>
    <row r="36" spans="3:10" x14ac:dyDescent="0.2">
      <c r="C36" s="19">
        <v>1029</v>
      </c>
      <c r="D36" s="20" t="s">
        <v>100</v>
      </c>
      <c r="E36" s="20" t="s">
        <v>51</v>
      </c>
      <c r="F36" s="20" t="s">
        <v>52</v>
      </c>
      <c r="G36" s="19">
        <v>13</v>
      </c>
      <c r="H36" s="19">
        <v>50</v>
      </c>
      <c r="I36" s="21">
        <v>45628</v>
      </c>
      <c r="J36" s="26">
        <f t="shared" si="0"/>
        <v>650</v>
      </c>
    </row>
    <row r="37" spans="3:10" x14ac:dyDescent="0.2">
      <c r="C37" s="19">
        <v>1030</v>
      </c>
      <c r="D37" s="20" t="s">
        <v>101</v>
      </c>
      <c r="E37" s="20" t="s">
        <v>54</v>
      </c>
      <c r="F37" s="20" t="s">
        <v>55</v>
      </c>
      <c r="G37" s="19">
        <v>32</v>
      </c>
      <c r="H37" s="19">
        <v>10</v>
      </c>
      <c r="I37" s="19" t="s">
        <v>102</v>
      </c>
      <c r="J37" s="26">
        <f t="shared" si="0"/>
        <v>320</v>
      </c>
    </row>
    <row r="38" spans="3:10" x14ac:dyDescent="0.2">
      <c r="C38" s="19">
        <v>1031</v>
      </c>
      <c r="D38" s="20" t="s">
        <v>103</v>
      </c>
      <c r="E38" s="20" t="s">
        <v>57</v>
      </c>
      <c r="F38" s="20" t="s">
        <v>58</v>
      </c>
      <c r="G38" s="19">
        <v>10</v>
      </c>
      <c r="H38" s="19">
        <v>25</v>
      </c>
      <c r="I38" s="19" t="s">
        <v>104</v>
      </c>
      <c r="J38" s="26">
        <f t="shared" si="0"/>
        <v>250</v>
      </c>
    </row>
    <row r="39" spans="3:10" x14ac:dyDescent="0.2">
      <c r="C39" s="19">
        <v>1032</v>
      </c>
      <c r="D39" s="20" t="s">
        <v>105</v>
      </c>
      <c r="E39" s="20" t="s">
        <v>60</v>
      </c>
      <c r="F39" s="20" t="s">
        <v>62</v>
      </c>
      <c r="G39" s="19">
        <v>18</v>
      </c>
      <c r="H39" s="19">
        <v>5</v>
      </c>
      <c r="I39" s="19" t="s">
        <v>106</v>
      </c>
      <c r="J39" s="26">
        <f t="shared" si="0"/>
        <v>90</v>
      </c>
    </row>
    <row r="40" spans="3:10" x14ac:dyDescent="0.2">
      <c r="C40" s="19">
        <v>1033</v>
      </c>
      <c r="D40" s="20" t="s">
        <v>107</v>
      </c>
      <c r="E40" s="20" t="s">
        <v>51</v>
      </c>
      <c r="F40" s="20" t="s">
        <v>65</v>
      </c>
      <c r="G40" s="19">
        <v>22</v>
      </c>
      <c r="H40" s="19">
        <v>8</v>
      </c>
      <c r="I40" s="19" t="s">
        <v>108</v>
      </c>
      <c r="J40" s="26">
        <f t="shared" si="0"/>
        <v>176</v>
      </c>
    </row>
    <row r="41" spans="3:10" x14ac:dyDescent="0.2">
      <c r="C41" s="19">
        <v>1034</v>
      </c>
      <c r="D41" s="20" t="s">
        <v>109</v>
      </c>
      <c r="E41" s="20" t="s">
        <v>54</v>
      </c>
      <c r="F41" s="20" t="s">
        <v>52</v>
      </c>
      <c r="G41" s="19">
        <v>17</v>
      </c>
      <c r="H41" s="19">
        <v>50</v>
      </c>
      <c r="I41" s="19" t="s">
        <v>110</v>
      </c>
      <c r="J41" s="26">
        <f t="shared" si="0"/>
        <v>850</v>
      </c>
    </row>
    <row r="42" spans="3:10" x14ac:dyDescent="0.2">
      <c r="C42" s="19">
        <v>1035</v>
      </c>
      <c r="D42" s="20" t="s">
        <v>111</v>
      </c>
      <c r="E42" s="20" t="s">
        <v>57</v>
      </c>
      <c r="F42" s="20" t="s">
        <v>55</v>
      </c>
      <c r="G42" s="19">
        <v>19</v>
      </c>
      <c r="H42" s="19">
        <v>10</v>
      </c>
      <c r="I42" s="19" t="s">
        <v>112</v>
      </c>
      <c r="J42" s="26">
        <f t="shared" si="0"/>
        <v>190</v>
      </c>
    </row>
    <row r="43" spans="3:10" x14ac:dyDescent="0.2">
      <c r="C43" s="19">
        <v>1036</v>
      </c>
      <c r="D43" s="20" t="s">
        <v>113</v>
      </c>
      <c r="E43" s="20" t="s">
        <v>60</v>
      </c>
      <c r="F43" s="20" t="s">
        <v>58</v>
      </c>
      <c r="G43" s="19">
        <v>15</v>
      </c>
      <c r="H43" s="19">
        <v>25</v>
      </c>
      <c r="I43" s="19" t="s">
        <v>114</v>
      </c>
      <c r="J43" s="26">
        <f t="shared" si="0"/>
        <v>375</v>
      </c>
    </row>
    <row r="44" spans="3:10" x14ac:dyDescent="0.2">
      <c r="C44" s="19">
        <v>1037</v>
      </c>
      <c r="D44" s="20" t="s">
        <v>115</v>
      </c>
      <c r="E44" s="20" t="s">
        <v>51</v>
      </c>
      <c r="F44" s="20" t="s">
        <v>62</v>
      </c>
      <c r="G44" s="19">
        <v>28</v>
      </c>
      <c r="H44" s="19">
        <v>5</v>
      </c>
      <c r="I44" s="19" t="s">
        <v>116</v>
      </c>
      <c r="J44" s="26">
        <f t="shared" si="0"/>
        <v>140</v>
      </c>
    </row>
    <row r="45" spans="3:10" x14ac:dyDescent="0.2">
      <c r="C45" s="19">
        <v>1038</v>
      </c>
      <c r="D45" s="20" t="s">
        <v>117</v>
      </c>
      <c r="E45" s="20" t="s">
        <v>54</v>
      </c>
      <c r="F45" s="20" t="s">
        <v>65</v>
      </c>
      <c r="G45" s="19">
        <v>24</v>
      </c>
      <c r="H45" s="19">
        <v>8</v>
      </c>
      <c r="I45" s="19" t="s">
        <v>118</v>
      </c>
      <c r="J45" s="26">
        <f t="shared" si="0"/>
        <v>192</v>
      </c>
    </row>
    <row r="46" spans="3:10" x14ac:dyDescent="0.2">
      <c r="C46" s="19">
        <v>1039</v>
      </c>
      <c r="D46" s="20" t="s">
        <v>119</v>
      </c>
      <c r="E46" s="20" t="s">
        <v>57</v>
      </c>
      <c r="F46" s="20" t="s">
        <v>52</v>
      </c>
      <c r="G46" s="19">
        <v>16</v>
      </c>
      <c r="H46" s="19">
        <v>50</v>
      </c>
      <c r="I46" s="19" t="s">
        <v>120</v>
      </c>
      <c r="J46" s="26">
        <f t="shared" si="0"/>
        <v>800</v>
      </c>
    </row>
    <row r="47" spans="3:10" x14ac:dyDescent="0.2">
      <c r="C47" s="19">
        <v>1040</v>
      </c>
      <c r="D47" s="20" t="s">
        <v>121</v>
      </c>
      <c r="E47" s="20" t="s">
        <v>60</v>
      </c>
      <c r="F47" s="20" t="s">
        <v>55</v>
      </c>
      <c r="G47" s="19">
        <v>27</v>
      </c>
      <c r="H47" s="19">
        <v>10</v>
      </c>
      <c r="I47" s="19" t="s">
        <v>122</v>
      </c>
      <c r="J47" s="26">
        <f t="shared" si="0"/>
        <v>270</v>
      </c>
    </row>
    <row r="48" spans="3:10" x14ac:dyDescent="0.2">
      <c r="C48" s="19">
        <v>1041</v>
      </c>
      <c r="D48" s="20" t="s">
        <v>123</v>
      </c>
      <c r="E48" s="20" t="s">
        <v>51</v>
      </c>
      <c r="F48" s="20" t="s">
        <v>58</v>
      </c>
      <c r="G48" s="19">
        <v>21</v>
      </c>
      <c r="H48" s="19">
        <v>25</v>
      </c>
      <c r="I48" s="19" t="s">
        <v>124</v>
      </c>
      <c r="J48" s="26">
        <f t="shared" si="0"/>
        <v>525</v>
      </c>
    </row>
    <row r="49" spans="3:10" x14ac:dyDescent="0.2">
      <c r="C49" s="19">
        <v>1042</v>
      </c>
      <c r="D49" s="20" t="s">
        <v>125</v>
      </c>
      <c r="E49" s="20" t="s">
        <v>54</v>
      </c>
      <c r="F49" s="20" t="s">
        <v>62</v>
      </c>
      <c r="G49" s="19">
        <v>30</v>
      </c>
      <c r="H49" s="19">
        <v>5</v>
      </c>
      <c r="I49" s="19" t="s">
        <v>126</v>
      </c>
      <c r="J49" s="26">
        <f t="shared" si="0"/>
        <v>150</v>
      </c>
    </row>
    <row r="50" spans="3:10" x14ac:dyDescent="0.2">
      <c r="C50" s="19">
        <v>1043</v>
      </c>
      <c r="D50" s="20" t="s">
        <v>127</v>
      </c>
      <c r="E50" s="20" t="s">
        <v>57</v>
      </c>
      <c r="F50" s="20" t="s">
        <v>65</v>
      </c>
      <c r="G50" s="19">
        <v>26</v>
      </c>
      <c r="H50" s="19">
        <v>8</v>
      </c>
      <c r="I50" s="21">
        <v>45294</v>
      </c>
      <c r="J50" s="26">
        <f t="shared" si="0"/>
        <v>208</v>
      </c>
    </row>
    <row r="51" spans="3:10" x14ac:dyDescent="0.2">
      <c r="C51" s="19">
        <v>1044</v>
      </c>
      <c r="D51" s="20" t="s">
        <v>128</v>
      </c>
      <c r="E51" s="20" t="s">
        <v>60</v>
      </c>
      <c r="F51" s="20" t="s">
        <v>52</v>
      </c>
      <c r="G51" s="19">
        <v>14</v>
      </c>
      <c r="H51" s="19">
        <v>50</v>
      </c>
      <c r="I51" s="21">
        <v>45325</v>
      </c>
      <c r="J51" s="26">
        <f t="shared" si="0"/>
        <v>700</v>
      </c>
    </row>
    <row r="52" spans="3:10" x14ac:dyDescent="0.2">
      <c r="C52" s="19">
        <v>1045</v>
      </c>
      <c r="D52" s="20" t="s">
        <v>129</v>
      </c>
      <c r="E52" s="20" t="s">
        <v>51</v>
      </c>
      <c r="F52" s="20" t="s">
        <v>55</v>
      </c>
      <c r="G52" s="19">
        <v>20</v>
      </c>
      <c r="H52" s="19">
        <v>10</v>
      </c>
      <c r="I52" s="21">
        <v>45354</v>
      </c>
      <c r="J52" s="26">
        <f t="shared" si="0"/>
        <v>200</v>
      </c>
    </row>
    <row r="53" spans="3:10" x14ac:dyDescent="0.2">
      <c r="C53" s="19">
        <v>1046</v>
      </c>
      <c r="D53" s="20" t="s">
        <v>130</v>
      </c>
      <c r="E53" s="20" t="s">
        <v>54</v>
      </c>
      <c r="F53" s="20" t="s">
        <v>58</v>
      </c>
      <c r="G53" s="19">
        <v>17</v>
      </c>
      <c r="H53" s="19">
        <v>25</v>
      </c>
      <c r="I53" s="21">
        <v>45385</v>
      </c>
      <c r="J53" s="26">
        <f t="shared" si="0"/>
        <v>425</v>
      </c>
    </row>
    <row r="54" spans="3:10" x14ac:dyDescent="0.2">
      <c r="C54" s="19">
        <v>1047</v>
      </c>
      <c r="D54" s="20" t="s">
        <v>131</v>
      </c>
      <c r="E54" s="20" t="s">
        <v>57</v>
      </c>
      <c r="F54" s="20" t="s">
        <v>62</v>
      </c>
      <c r="G54" s="19">
        <v>19</v>
      </c>
      <c r="H54" s="19">
        <v>5</v>
      </c>
      <c r="I54" s="21">
        <v>45415</v>
      </c>
      <c r="J54" s="26">
        <f t="shared" si="0"/>
        <v>95</v>
      </c>
    </row>
    <row r="55" spans="3:10" x14ac:dyDescent="0.2">
      <c r="C55" s="19">
        <v>1048</v>
      </c>
      <c r="D55" s="20" t="s">
        <v>132</v>
      </c>
      <c r="E55" s="20" t="s">
        <v>60</v>
      </c>
      <c r="F55" s="20" t="s">
        <v>65</v>
      </c>
      <c r="G55" s="19">
        <v>32</v>
      </c>
      <c r="H55" s="19">
        <v>8</v>
      </c>
      <c r="I55" s="21">
        <v>45446</v>
      </c>
      <c r="J55" s="26">
        <f t="shared" si="0"/>
        <v>256</v>
      </c>
    </row>
    <row r="56" spans="3:10" x14ac:dyDescent="0.2">
      <c r="C56" s="19">
        <v>1049</v>
      </c>
      <c r="D56" s="20" t="s">
        <v>133</v>
      </c>
      <c r="E56" s="20" t="s">
        <v>51</v>
      </c>
      <c r="F56" s="20" t="s">
        <v>52</v>
      </c>
      <c r="G56" s="19">
        <v>12</v>
      </c>
      <c r="H56" s="19">
        <v>50</v>
      </c>
      <c r="I56" s="21">
        <v>45476</v>
      </c>
      <c r="J56" s="26">
        <f t="shared" si="0"/>
        <v>600</v>
      </c>
    </row>
    <row r="57" spans="3:10" x14ac:dyDescent="0.2">
      <c r="C57" s="19">
        <v>1050</v>
      </c>
      <c r="D57" s="20" t="s">
        <v>134</v>
      </c>
      <c r="E57" s="20" t="s">
        <v>54</v>
      </c>
      <c r="F57" s="20" t="s">
        <v>55</v>
      </c>
      <c r="G57" s="19">
        <v>25</v>
      </c>
      <c r="H57" s="19">
        <v>10</v>
      </c>
      <c r="I57" s="21">
        <v>45507</v>
      </c>
      <c r="J57" s="26">
        <f t="shared" si="0"/>
        <v>250</v>
      </c>
    </row>
  </sheetData>
  <mergeCells count="1"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4:AE58"/>
  <sheetViews>
    <sheetView topLeftCell="E14" zoomScale="80" workbookViewId="0">
      <selection activeCell="Q6" sqref="Q5:Q6"/>
    </sheetView>
  </sheetViews>
  <sheetFormatPr defaultRowHeight="15" x14ac:dyDescent="0.2"/>
  <cols>
    <col min="4" max="4" width="14.2578125" bestFit="1" customWidth="1"/>
    <col min="9" max="9" width="10.35546875" bestFit="1" customWidth="1"/>
    <col min="10" max="10" width="9.81640625" bestFit="1" customWidth="1"/>
  </cols>
  <sheetData>
    <row r="4" spans="3:31" x14ac:dyDescent="0.2">
      <c r="C4" s="32" t="s">
        <v>137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8" spans="3:31" x14ac:dyDescent="0.2">
      <c r="C8" s="18" t="s">
        <v>43</v>
      </c>
      <c r="D8" s="18" t="s">
        <v>44</v>
      </c>
      <c r="E8" s="18" t="s">
        <v>45</v>
      </c>
      <c r="F8" s="18" t="s">
        <v>46</v>
      </c>
      <c r="G8" s="18" t="s">
        <v>47</v>
      </c>
      <c r="H8" s="18" t="s">
        <v>48</v>
      </c>
      <c r="I8" s="18" t="s">
        <v>49</v>
      </c>
      <c r="J8" s="25" t="s">
        <v>139</v>
      </c>
      <c r="L8" s="30" t="s">
        <v>3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3:31" x14ac:dyDescent="0.2">
      <c r="C9" s="19">
        <v>1001</v>
      </c>
      <c r="D9" s="20" t="s">
        <v>50</v>
      </c>
      <c r="E9" s="20" t="s">
        <v>51</v>
      </c>
      <c r="F9" s="20" t="s">
        <v>52</v>
      </c>
      <c r="G9" s="19">
        <v>10</v>
      </c>
      <c r="H9" s="19">
        <v>50</v>
      </c>
      <c r="I9" s="21">
        <v>45413</v>
      </c>
      <c r="J9" s="29">
        <f>PRODUCT(G9,H9)</f>
        <v>500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3:31" x14ac:dyDescent="0.2">
      <c r="C10" s="19">
        <v>1002</v>
      </c>
      <c r="D10" s="20" t="s">
        <v>53</v>
      </c>
      <c r="E10" s="20" t="s">
        <v>54</v>
      </c>
      <c r="F10" s="20" t="s">
        <v>55</v>
      </c>
      <c r="G10" s="19">
        <v>20</v>
      </c>
      <c r="H10" s="19">
        <v>10</v>
      </c>
      <c r="I10" s="21">
        <v>45444</v>
      </c>
      <c r="J10" s="29">
        <f t="shared" ref="J10:J58" si="0">PRODUCT(G10,H10)</f>
        <v>200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3:31" x14ac:dyDescent="0.2">
      <c r="C11" s="19">
        <v>1003</v>
      </c>
      <c r="D11" s="20" t="s">
        <v>56</v>
      </c>
      <c r="E11" s="20" t="s">
        <v>57</v>
      </c>
      <c r="F11" s="20" t="s">
        <v>58</v>
      </c>
      <c r="G11" s="19">
        <v>15</v>
      </c>
      <c r="H11" s="19">
        <v>25</v>
      </c>
      <c r="I11" s="21">
        <v>45474</v>
      </c>
      <c r="J11" s="29">
        <f t="shared" si="0"/>
        <v>375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3:31" x14ac:dyDescent="0.2">
      <c r="C12" s="19">
        <v>1004</v>
      </c>
      <c r="D12" s="20" t="s">
        <v>59</v>
      </c>
      <c r="E12" s="20" t="s">
        <v>60</v>
      </c>
      <c r="F12" s="20" t="s">
        <v>52</v>
      </c>
      <c r="G12" s="19">
        <v>5</v>
      </c>
      <c r="H12" s="19">
        <v>50</v>
      </c>
      <c r="I12" s="21">
        <v>45505</v>
      </c>
      <c r="J12" s="29">
        <f t="shared" si="0"/>
        <v>250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3:31" x14ac:dyDescent="0.2">
      <c r="C13" s="19">
        <v>1005</v>
      </c>
      <c r="D13" s="20" t="s">
        <v>61</v>
      </c>
      <c r="E13" s="20" t="s">
        <v>51</v>
      </c>
      <c r="F13" s="20" t="s">
        <v>62</v>
      </c>
      <c r="G13" s="19">
        <v>30</v>
      </c>
      <c r="H13" s="19">
        <v>5</v>
      </c>
      <c r="I13" s="21">
        <v>45566</v>
      </c>
      <c r="J13" s="29">
        <f t="shared" si="0"/>
        <v>150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3:31" x14ac:dyDescent="0.2">
      <c r="C14" s="19">
        <v>1006</v>
      </c>
      <c r="D14" s="20" t="s">
        <v>63</v>
      </c>
      <c r="E14" s="20" t="s">
        <v>54</v>
      </c>
      <c r="F14" s="20" t="s">
        <v>52</v>
      </c>
      <c r="G14" s="19">
        <v>12</v>
      </c>
      <c r="H14" s="19">
        <v>50</v>
      </c>
      <c r="I14" s="21">
        <v>45597</v>
      </c>
      <c r="J14" s="29">
        <f t="shared" si="0"/>
        <v>600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3:31" x14ac:dyDescent="0.2">
      <c r="C15" s="19">
        <v>1007</v>
      </c>
      <c r="D15" s="20" t="s">
        <v>64</v>
      </c>
      <c r="E15" s="20" t="s">
        <v>57</v>
      </c>
      <c r="F15" s="20" t="s">
        <v>65</v>
      </c>
      <c r="G15" s="19">
        <v>25</v>
      </c>
      <c r="H15" s="19">
        <v>8</v>
      </c>
      <c r="I15" s="19" t="s">
        <v>66</v>
      </c>
      <c r="J15" s="29">
        <f t="shared" si="0"/>
        <v>200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3:31" x14ac:dyDescent="0.2">
      <c r="C16" s="19">
        <v>1008</v>
      </c>
      <c r="D16" s="20" t="s">
        <v>67</v>
      </c>
      <c r="E16" s="20" t="s">
        <v>60</v>
      </c>
      <c r="F16" s="20" t="s">
        <v>55</v>
      </c>
      <c r="G16" s="19">
        <v>18</v>
      </c>
      <c r="H16" s="19">
        <v>10</v>
      </c>
      <c r="I16" s="19" t="s">
        <v>68</v>
      </c>
      <c r="J16" s="29">
        <f t="shared" si="0"/>
        <v>180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3:31" x14ac:dyDescent="0.2">
      <c r="C17" s="19">
        <v>1009</v>
      </c>
      <c r="D17" s="20" t="s">
        <v>69</v>
      </c>
      <c r="E17" s="20" t="s">
        <v>51</v>
      </c>
      <c r="F17" s="20" t="s">
        <v>58</v>
      </c>
      <c r="G17" s="19">
        <v>22</v>
      </c>
      <c r="H17" s="19">
        <v>25</v>
      </c>
      <c r="I17" s="19" t="s">
        <v>70</v>
      </c>
      <c r="J17" s="29">
        <f t="shared" si="0"/>
        <v>550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3:31" x14ac:dyDescent="0.2">
      <c r="C18" s="19">
        <v>1010</v>
      </c>
      <c r="D18" s="20" t="s">
        <v>71</v>
      </c>
      <c r="E18" s="20" t="s">
        <v>54</v>
      </c>
      <c r="F18" s="20" t="s">
        <v>52</v>
      </c>
      <c r="G18" s="19">
        <v>8</v>
      </c>
      <c r="H18" s="19">
        <v>50</v>
      </c>
      <c r="I18" s="19" t="s">
        <v>72</v>
      </c>
      <c r="J18" s="29">
        <f t="shared" si="0"/>
        <v>400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3:31" x14ac:dyDescent="0.2">
      <c r="C19" s="19">
        <v>1011</v>
      </c>
      <c r="D19" s="20" t="s">
        <v>73</v>
      </c>
      <c r="E19" s="20" t="s">
        <v>57</v>
      </c>
      <c r="F19" s="20" t="s">
        <v>62</v>
      </c>
      <c r="G19" s="19">
        <v>40</v>
      </c>
      <c r="H19" s="19">
        <v>5</v>
      </c>
      <c r="I19" s="19" t="s">
        <v>74</v>
      </c>
      <c r="J19" s="29">
        <f t="shared" si="0"/>
        <v>200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3:31" x14ac:dyDescent="0.2">
      <c r="C20" s="19">
        <v>1012</v>
      </c>
      <c r="D20" s="20" t="s">
        <v>75</v>
      </c>
      <c r="E20" s="20" t="s">
        <v>60</v>
      </c>
      <c r="F20" s="20" t="s">
        <v>65</v>
      </c>
      <c r="G20" s="19">
        <v>35</v>
      </c>
      <c r="H20" s="19">
        <v>8</v>
      </c>
      <c r="I20" s="19" t="s">
        <v>76</v>
      </c>
      <c r="J20" s="29">
        <f t="shared" si="0"/>
        <v>280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3:31" x14ac:dyDescent="0.2">
      <c r="C21" s="19">
        <v>1013</v>
      </c>
      <c r="D21" s="20" t="s">
        <v>77</v>
      </c>
      <c r="E21" s="20" t="s">
        <v>51</v>
      </c>
      <c r="F21" s="20" t="s">
        <v>52</v>
      </c>
      <c r="G21" s="19">
        <v>14</v>
      </c>
      <c r="H21" s="19">
        <v>50</v>
      </c>
      <c r="I21" s="19" t="s">
        <v>78</v>
      </c>
      <c r="J21" s="29">
        <f t="shared" si="0"/>
        <v>700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3:31" x14ac:dyDescent="0.2">
      <c r="C22" s="19">
        <v>1014</v>
      </c>
      <c r="D22" s="20" t="s">
        <v>79</v>
      </c>
      <c r="E22" s="20" t="s">
        <v>54</v>
      </c>
      <c r="F22" s="20" t="s">
        <v>55</v>
      </c>
      <c r="G22" s="19">
        <v>28</v>
      </c>
      <c r="H22" s="19">
        <v>10</v>
      </c>
      <c r="I22" s="19" t="s">
        <v>80</v>
      </c>
      <c r="J22" s="29">
        <f t="shared" si="0"/>
        <v>280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3:31" x14ac:dyDescent="0.2">
      <c r="C23" s="19">
        <v>1015</v>
      </c>
      <c r="D23" s="20" t="s">
        <v>81</v>
      </c>
      <c r="E23" s="20" t="s">
        <v>57</v>
      </c>
      <c r="F23" s="20" t="s">
        <v>58</v>
      </c>
      <c r="G23" s="19">
        <v>12</v>
      </c>
      <c r="H23" s="19">
        <v>25</v>
      </c>
      <c r="I23" s="19" t="s">
        <v>82</v>
      </c>
      <c r="J23" s="29">
        <f t="shared" si="0"/>
        <v>300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3:31" x14ac:dyDescent="0.2">
      <c r="C24" s="19">
        <v>1016</v>
      </c>
      <c r="D24" s="20" t="s">
        <v>83</v>
      </c>
      <c r="E24" s="20" t="s">
        <v>60</v>
      </c>
      <c r="F24" s="20" t="s">
        <v>62</v>
      </c>
      <c r="G24" s="19">
        <v>25</v>
      </c>
      <c r="H24" s="19">
        <v>5</v>
      </c>
      <c r="I24" s="19" t="s">
        <v>84</v>
      </c>
      <c r="J24" s="29">
        <f t="shared" si="0"/>
        <v>125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3:31" x14ac:dyDescent="0.2">
      <c r="C25" s="19">
        <v>1017</v>
      </c>
      <c r="D25" s="20" t="s">
        <v>85</v>
      </c>
      <c r="E25" s="20" t="s">
        <v>51</v>
      </c>
      <c r="F25" s="20" t="s">
        <v>65</v>
      </c>
      <c r="G25" s="19">
        <v>20</v>
      </c>
      <c r="H25" s="19">
        <v>8</v>
      </c>
      <c r="I25" s="19" t="s">
        <v>86</v>
      </c>
      <c r="J25" s="29">
        <f t="shared" si="0"/>
        <v>160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3:31" x14ac:dyDescent="0.2">
      <c r="C26" s="19">
        <v>1018</v>
      </c>
      <c r="D26" s="20" t="s">
        <v>87</v>
      </c>
      <c r="E26" s="20" t="s">
        <v>54</v>
      </c>
      <c r="F26" s="20" t="s">
        <v>52</v>
      </c>
      <c r="G26" s="19">
        <v>10</v>
      </c>
      <c r="H26" s="19">
        <v>50</v>
      </c>
      <c r="I26" s="19" t="s">
        <v>88</v>
      </c>
      <c r="J26" s="29">
        <f t="shared" si="0"/>
        <v>500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3:31" x14ac:dyDescent="0.2">
      <c r="C27" s="19">
        <v>1019</v>
      </c>
      <c r="D27" s="20" t="s">
        <v>89</v>
      </c>
      <c r="E27" s="20" t="s">
        <v>57</v>
      </c>
      <c r="F27" s="20" t="s">
        <v>55</v>
      </c>
      <c r="G27" s="19">
        <v>15</v>
      </c>
      <c r="H27" s="19">
        <v>10</v>
      </c>
      <c r="I27" s="19" t="s">
        <v>90</v>
      </c>
      <c r="J27" s="29">
        <f t="shared" si="0"/>
        <v>150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3:31" x14ac:dyDescent="0.2">
      <c r="C28" s="19">
        <v>1020</v>
      </c>
      <c r="D28" s="20" t="s">
        <v>91</v>
      </c>
      <c r="E28" s="20" t="s">
        <v>60</v>
      </c>
      <c r="F28" s="20" t="s">
        <v>58</v>
      </c>
      <c r="G28" s="19">
        <v>18</v>
      </c>
      <c r="H28" s="19">
        <v>25</v>
      </c>
      <c r="I28" s="21">
        <v>45293</v>
      </c>
      <c r="J28" s="29">
        <f t="shared" si="0"/>
        <v>450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3:31" x14ac:dyDescent="0.2">
      <c r="C29" s="19">
        <v>1021</v>
      </c>
      <c r="D29" s="20" t="s">
        <v>92</v>
      </c>
      <c r="E29" s="20" t="s">
        <v>51</v>
      </c>
      <c r="F29" s="20" t="s">
        <v>52</v>
      </c>
      <c r="G29" s="19">
        <v>9</v>
      </c>
      <c r="H29" s="19">
        <v>50</v>
      </c>
      <c r="I29" s="21">
        <v>45324</v>
      </c>
      <c r="J29" s="29">
        <f t="shared" si="0"/>
        <v>450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3:31" x14ac:dyDescent="0.2">
      <c r="C30" s="19">
        <v>1022</v>
      </c>
      <c r="D30" s="20" t="s">
        <v>93</v>
      </c>
      <c r="E30" s="20" t="s">
        <v>54</v>
      </c>
      <c r="F30" s="20" t="s">
        <v>62</v>
      </c>
      <c r="G30" s="19">
        <v>35</v>
      </c>
      <c r="H30" s="19">
        <v>5</v>
      </c>
      <c r="I30" s="21">
        <v>45353</v>
      </c>
      <c r="J30" s="29">
        <f t="shared" si="0"/>
        <v>175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3:31" x14ac:dyDescent="0.2">
      <c r="C31" s="19">
        <v>1023</v>
      </c>
      <c r="D31" s="20" t="s">
        <v>94</v>
      </c>
      <c r="E31" s="20" t="s">
        <v>57</v>
      </c>
      <c r="F31" s="20" t="s">
        <v>65</v>
      </c>
      <c r="G31" s="19">
        <v>30</v>
      </c>
      <c r="H31" s="19">
        <v>8</v>
      </c>
      <c r="I31" s="21">
        <v>45384</v>
      </c>
      <c r="J31" s="29">
        <f t="shared" si="0"/>
        <v>240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3:31" x14ac:dyDescent="0.2">
      <c r="C32" s="19">
        <v>1024</v>
      </c>
      <c r="D32" s="20" t="s">
        <v>95</v>
      </c>
      <c r="E32" s="20" t="s">
        <v>60</v>
      </c>
      <c r="F32" s="20" t="s">
        <v>52</v>
      </c>
      <c r="G32" s="19">
        <v>11</v>
      </c>
      <c r="H32" s="19">
        <v>50</v>
      </c>
      <c r="I32" s="21">
        <v>45445</v>
      </c>
      <c r="J32" s="29">
        <f t="shared" si="0"/>
        <v>550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3:31" x14ac:dyDescent="0.2">
      <c r="C33" s="19">
        <v>1025</v>
      </c>
      <c r="D33" s="20" t="s">
        <v>96</v>
      </c>
      <c r="E33" s="20" t="s">
        <v>51</v>
      </c>
      <c r="F33" s="20" t="s">
        <v>55</v>
      </c>
      <c r="G33" s="19">
        <v>14</v>
      </c>
      <c r="H33" s="19">
        <v>10</v>
      </c>
      <c r="I33" s="21">
        <v>45475</v>
      </c>
      <c r="J33" s="29">
        <f t="shared" si="0"/>
        <v>140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3:31" x14ac:dyDescent="0.2">
      <c r="C34" s="19">
        <v>1026</v>
      </c>
      <c r="D34" s="20" t="s">
        <v>97</v>
      </c>
      <c r="E34" s="20" t="s">
        <v>54</v>
      </c>
      <c r="F34" s="20" t="s">
        <v>58</v>
      </c>
      <c r="G34" s="19">
        <v>16</v>
      </c>
      <c r="H34" s="19">
        <v>25</v>
      </c>
      <c r="I34" s="21">
        <v>45506</v>
      </c>
      <c r="J34" s="29">
        <f t="shared" si="0"/>
        <v>400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3:31" x14ac:dyDescent="0.2">
      <c r="C35" s="19">
        <v>1027</v>
      </c>
      <c r="D35" s="20" t="s">
        <v>98</v>
      </c>
      <c r="E35" s="20" t="s">
        <v>57</v>
      </c>
      <c r="F35" s="20" t="s">
        <v>62</v>
      </c>
      <c r="G35" s="19">
        <v>22</v>
      </c>
      <c r="H35" s="19">
        <v>5</v>
      </c>
      <c r="I35" s="21">
        <v>45537</v>
      </c>
      <c r="J35" s="29">
        <f t="shared" si="0"/>
        <v>110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3:31" x14ac:dyDescent="0.2">
      <c r="C36" s="19">
        <v>1028</v>
      </c>
      <c r="D36" s="20" t="s">
        <v>99</v>
      </c>
      <c r="E36" s="20" t="s">
        <v>60</v>
      </c>
      <c r="F36" s="20" t="s">
        <v>65</v>
      </c>
      <c r="G36" s="19">
        <v>27</v>
      </c>
      <c r="H36" s="19">
        <v>8</v>
      </c>
      <c r="I36" s="21">
        <v>45567</v>
      </c>
      <c r="J36" s="29">
        <f t="shared" si="0"/>
        <v>216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3:31" x14ac:dyDescent="0.2">
      <c r="C37" s="19">
        <v>1029</v>
      </c>
      <c r="D37" s="20" t="s">
        <v>100</v>
      </c>
      <c r="E37" s="20" t="s">
        <v>51</v>
      </c>
      <c r="F37" s="20" t="s">
        <v>52</v>
      </c>
      <c r="G37" s="19">
        <v>13</v>
      </c>
      <c r="H37" s="19">
        <v>50</v>
      </c>
      <c r="I37" s="21">
        <v>45628</v>
      </c>
      <c r="J37" s="29">
        <f t="shared" si="0"/>
        <v>650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3:31" x14ac:dyDescent="0.2">
      <c r="C38" s="19">
        <v>1030</v>
      </c>
      <c r="D38" s="20" t="s">
        <v>101</v>
      </c>
      <c r="E38" s="20" t="s">
        <v>54</v>
      </c>
      <c r="F38" s="20" t="s">
        <v>55</v>
      </c>
      <c r="G38" s="19">
        <v>32</v>
      </c>
      <c r="H38" s="19">
        <v>10</v>
      </c>
      <c r="I38" s="19" t="s">
        <v>102</v>
      </c>
      <c r="J38" s="29">
        <f t="shared" si="0"/>
        <v>320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3:31" x14ac:dyDescent="0.2">
      <c r="C39" s="19">
        <v>1031</v>
      </c>
      <c r="D39" s="20" t="s">
        <v>103</v>
      </c>
      <c r="E39" s="20" t="s">
        <v>57</v>
      </c>
      <c r="F39" s="20" t="s">
        <v>58</v>
      </c>
      <c r="G39" s="19">
        <v>10</v>
      </c>
      <c r="H39" s="19">
        <v>25</v>
      </c>
      <c r="I39" s="19" t="s">
        <v>104</v>
      </c>
      <c r="J39" s="29">
        <f t="shared" si="0"/>
        <v>250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3:31" x14ac:dyDescent="0.2">
      <c r="C40" s="19">
        <v>1032</v>
      </c>
      <c r="D40" s="20" t="s">
        <v>105</v>
      </c>
      <c r="E40" s="20" t="s">
        <v>60</v>
      </c>
      <c r="F40" s="20" t="s">
        <v>62</v>
      </c>
      <c r="G40" s="19">
        <v>18</v>
      </c>
      <c r="H40" s="19">
        <v>5</v>
      </c>
      <c r="I40" s="19" t="s">
        <v>106</v>
      </c>
      <c r="J40" s="29">
        <f t="shared" si="0"/>
        <v>90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3:31" x14ac:dyDescent="0.2">
      <c r="C41" s="19">
        <v>1033</v>
      </c>
      <c r="D41" s="20" t="s">
        <v>107</v>
      </c>
      <c r="E41" s="20" t="s">
        <v>51</v>
      </c>
      <c r="F41" s="20" t="s">
        <v>65</v>
      </c>
      <c r="G41" s="19">
        <v>22</v>
      </c>
      <c r="H41" s="19">
        <v>8</v>
      </c>
      <c r="I41" s="19" t="s">
        <v>108</v>
      </c>
      <c r="J41" s="29">
        <f t="shared" si="0"/>
        <v>176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3:31" x14ac:dyDescent="0.2">
      <c r="C42" s="19">
        <v>1034</v>
      </c>
      <c r="D42" s="20" t="s">
        <v>109</v>
      </c>
      <c r="E42" s="20" t="s">
        <v>54</v>
      </c>
      <c r="F42" s="20" t="s">
        <v>52</v>
      </c>
      <c r="G42" s="19">
        <v>17</v>
      </c>
      <c r="H42" s="19">
        <v>50</v>
      </c>
      <c r="I42" s="19" t="s">
        <v>110</v>
      </c>
      <c r="J42" s="29">
        <f t="shared" si="0"/>
        <v>850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3:31" x14ac:dyDescent="0.2">
      <c r="C43" s="19">
        <v>1035</v>
      </c>
      <c r="D43" s="20" t="s">
        <v>111</v>
      </c>
      <c r="E43" s="20" t="s">
        <v>57</v>
      </c>
      <c r="F43" s="20" t="s">
        <v>55</v>
      </c>
      <c r="G43" s="19">
        <v>19</v>
      </c>
      <c r="H43" s="19">
        <v>10</v>
      </c>
      <c r="I43" s="19" t="s">
        <v>112</v>
      </c>
      <c r="J43" s="29">
        <f t="shared" si="0"/>
        <v>190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3:31" x14ac:dyDescent="0.2">
      <c r="C44" s="19">
        <v>1036</v>
      </c>
      <c r="D44" s="20" t="s">
        <v>113</v>
      </c>
      <c r="E44" s="20" t="s">
        <v>60</v>
      </c>
      <c r="F44" s="20" t="s">
        <v>58</v>
      </c>
      <c r="G44" s="19">
        <v>15</v>
      </c>
      <c r="H44" s="19">
        <v>25</v>
      </c>
      <c r="I44" s="19" t="s">
        <v>114</v>
      </c>
      <c r="J44" s="29">
        <f t="shared" si="0"/>
        <v>375</v>
      </c>
    </row>
    <row r="45" spans="3:31" x14ac:dyDescent="0.2">
      <c r="C45" s="19">
        <v>1037</v>
      </c>
      <c r="D45" s="20" t="s">
        <v>115</v>
      </c>
      <c r="E45" s="20" t="s">
        <v>51</v>
      </c>
      <c r="F45" s="20" t="s">
        <v>62</v>
      </c>
      <c r="G45" s="19">
        <v>28</v>
      </c>
      <c r="H45" s="19">
        <v>5</v>
      </c>
      <c r="I45" s="19" t="s">
        <v>116</v>
      </c>
      <c r="J45" s="29">
        <f t="shared" si="0"/>
        <v>140</v>
      </c>
    </row>
    <row r="46" spans="3:31" x14ac:dyDescent="0.2">
      <c r="C46" s="19">
        <v>1038</v>
      </c>
      <c r="D46" s="20" t="s">
        <v>117</v>
      </c>
      <c r="E46" s="20" t="s">
        <v>54</v>
      </c>
      <c r="F46" s="20" t="s">
        <v>65</v>
      </c>
      <c r="G46" s="19">
        <v>24</v>
      </c>
      <c r="H46" s="19">
        <v>8</v>
      </c>
      <c r="I46" s="19" t="s">
        <v>118</v>
      </c>
      <c r="J46" s="29">
        <f t="shared" si="0"/>
        <v>192</v>
      </c>
    </row>
    <row r="47" spans="3:31" x14ac:dyDescent="0.2">
      <c r="C47" s="19">
        <v>1039</v>
      </c>
      <c r="D47" s="20" t="s">
        <v>119</v>
      </c>
      <c r="E47" s="20" t="s">
        <v>57</v>
      </c>
      <c r="F47" s="20" t="s">
        <v>52</v>
      </c>
      <c r="G47" s="19">
        <v>16</v>
      </c>
      <c r="H47" s="19">
        <v>50</v>
      </c>
      <c r="I47" s="19" t="s">
        <v>120</v>
      </c>
      <c r="J47" s="29">
        <f t="shared" si="0"/>
        <v>800</v>
      </c>
    </row>
    <row r="48" spans="3:31" x14ac:dyDescent="0.2">
      <c r="C48" s="19">
        <v>1040</v>
      </c>
      <c r="D48" s="20" t="s">
        <v>121</v>
      </c>
      <c r="E48" s="20" t="s">
        <v>60</v>
      </c>
      <c r="F48" s="20" t="s">
        <v>55</v>
      </c>
      <c r="G48" s="19">
        <v>27</v>
      </c>
      <c r="H48" s="19">
        <v>10</v>
      </c>
      <c r="I48" s="19" t="s">
        <v>122</v>
      </c>
      <c r="J48" s="29">
        <f t="shared" si="0"/>
        <v>270</v>
      </c>
    </row>
    <row r="49" spans="3:10" x14ac:dyDescent="0.2">
      <c r="C49" s="19">
        <v>1041</v>
      </c>
      <c r="D49" s="20" t="s">
        <v>123</v>
      </c>
      <c r="E49" s="20" t="s">
        <v>51</v>
      </c>
      <c r="F49" s="20" t="s">
        <v>58</v>
      </c>
      <c r="G49" s="19">
        <v>21</v>
      </c>
      <c r="H49" s="19">
        <v>25</v>
      </c>
      <c r="I49" s="19" t="s">
        <v>124</v>
      </c>
      <c r="J49" s="29">
        <f t="shared" si="0"/>
        <v>525</v>
      </c>
    </row>
    <row r="50" spans="3:10" x14ac:dyDescent="0.2">
      <c r="C50" s="19">
        <v>1042</v>
      </c>
      <c r="D50" s="20" t="s">
        <v>125</v>
      </c>
      <c r="E50" s="20" t="s">
        <v>54</v>
      </c>
      <c r="F50" s="20" t="s">
        <v>62</v>
      </c>
      <c r="G50" s="19">
        <v>30</v>
      </c>
      <c r="H50" s="19">
        <v>5</v>
      </c>
      <c r="I50" s="19" t="s">
        <v>126</v>
      </c>
      <c r="J50" s="29">
        <f t="shared" si="0"/>
        <v>150</v>
      </c>
    </row>
    <row r="51" spans="3:10" x14ac:dyDescent="0.2">
      <c r="C51" s="19">
        <v>1043</v>
      </c>
      <c r="D51" s="20" t="s">
        <v>127</v>
      </c>
      <c r="E51" s="20" t="s">
        <v>57</v>
      </c>
      <c r="F51" s="20" t="s">
        <v>65</v>
      </c>
      <c r="G51" s="19">
        <v>26</v>
      </c>
      <c r="H51" s="19">
        <v>8</v>
      </c>
      <c r="I51" s="21">
        <v>45294</v>
      </c>
      <c r="J51" s="29">
        <f t="shared" si="0"/>
        <v>208</v>
      </c>
    </row>
    <row r="52" spans="3:10" x14ac:dyDescent="0.2">
      <c r="C52" s="19">
        <v>1044</v>
      </c>
      <c r="D52" s="20" t="s">
        <v>128</v>
      </c>
      <c r="E52" s="20" t="s">
        <v>60</v>
      </c>
      <c r="F52" s="20" t="s">
        <v>52</v>
      </c>
      <c r="G52" s="19">
        <v>14</v>
      </c>
      <c r="H52" s="19">
        <v>50</v>
      </c>
      <c r="I52" s="21">
        <v>45325</v>
      </c>
      <c r="J52" s="29">
        <f t="shared" si="0"/>
        <v>700</v>
      </c>
    </row>
    <row r="53" spans="3:10" x14ac:dyDescent="0.2">
      <c r="C53" s="19">
        <v>1045</v>
      </c>
      <c r="D53" s="20" t="s">
        <v>129</v>
      </c>
      <c r="E53" s="20" t="s">
        <v>51</v>
      </c>
      <c r="F53" s="20" t="s">
        <v>55</v>
      </c>
      <c r="G53" s="19">
        <v>20</v>
      </c>
      <c r="H53" s="19">
        <v>10</v>
      </c>
      <c r="I53" s="21">
        <v>45354</v>
      </c>
      <c r="J53" s="29">
        <f t="shared" si="0"/>
        <v>200</v>
      </c>
    </row>
    <row r="54" spans="3:10" x14ac:dyDescent="0.2">
      <c r="C54" s="19">
        <v>1046</v>
      </c>
      <c r="D54" s="20" t="s">
        <v>130</v>
      </c>
      <c r="E54" s="20" t="s">
        <v>54</v>
      </c>
      <c r="F54" s="20" t="s">
        <v>58</v>
      </c>
      <c r="G54" s="19">
        <v>17</v>
      </c>
      <c r="H54" s="19">
        <v>25</v>
      </c>
      <c r="I54" s="21">
        <v>45385</v>
      </c>
      <c r="J54" s="29">
        <f t="shared" si="0"/>
        <v>425</v>
      </c>
    </row>
    <row r="55" spans="3:10" x14ac:dyDescent="0.2">
      <c r="C55" s="19">
        <v>1047</v>
      </c>
      <c r="D55" s="20" t="s">
        <v>131</v>
      </c>
      <c r="E55" s="20" t="s">
        <v>57</v>
      </c>
      <c r="F55" s="20" t="s">
        <v>62</v>
      </c>
      <c r="G55" s="19">
        <v>19</v>
      </c>
      <c r="H55" s="19">
        <v>5</v>
      </c>
      <c r="I55" s="21">
        <v>45415</v>
      </c>
      <c r="J55" s="29">
        <f t="shared" si="0"/>
        <v>95</v>
      </c>
    </row>
    <row r="56" spans="3:10" x14ac:dyDescent="0.2">
      <c r="C56" s="19">
        <v>1048</v>
      </c>
      <c r="D56" s="20" t="s">
        <v>132</v>
      </c>
      <c r="E56" s="20" t="s">
        <v>60</v>
      </c>
      <c r="F56" s="20" t="s">
        <v>65</v>
      </c>
      <c r="G56" s="19">
        <v>32</v>
      </c>
      <c r="H56" s="19">
        <v>8</v>
      </c>
      <c r="I56" s="21">
        <v>45446</v>
      </c>
      <c r="J56" s="29">
        <f t="shared" si="0"/>
        <v>256</v>
      </c>
    </row>
    <row r="57" spans="3:10" x14ac:dyDescent="0.2">
      <c r="C57" s="19">
        <v>1049</v>
      </c>
      <c r="D57" s="20" t="s">
        <v>133</v>
      </c>
      <c r="E57" s="20" t="s">
        <v>51</v>
      </c>
      <c r="F57" s="20" t="s">
        <v>52</v>
      </c>
      <c r="G57" s="19">
        <v>12</v>
      </c>
      <c r="H57" s="19">
        <v>50</v>
      </c>
      <c r="I57" s="21">
        <v>45476</v>
      </c>
      <c r="J57" s="29">
        <f t="shared" si="0"/>
        <v>600</v>
      </c>
    </row>
    <row r="58" spans="3:10" x14ac:dyDescent="0.2">
      <c r="C58" s="19">
        <v>1050</v>
      </c>
      <c r="D58" s="20" t="s">
        <v>134</v>
      </c>
      <c r="E58" s="20" t="s">
        <v>54</v>
      </c>
      <c r="F58" s="20" t="s">
        <v>55</v>
      </c>
      <c r="G58" s="19">
        <v>25</v>
      </c>
      <c r="H58" s="19">
        <v>10</v>
      </c>
      <c r="I58" s="21">
        <v>45507</v>
      </c>
      <c r="J58" s="29">
        <f t="shared" si="0"/>
        <v>250</v>
      </c>
    </row>
  </sheetData>
  <mergeCells count="1">
    <mergeCell ref="C4: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3:AB56"/>
  <sheetViews>
    <sheetView zoomScale="32" workbookViewId="0">
      <selection activeCell="I1" sqref="I1:I1048576"/>
    </sheetView>
  </sheetViews>
  <sheetFormatPr defaultRowHeight="15" x14ac:dyDescent="0.2"/>
  <cols>
    <col min="4" max="4" width="14.2578125" bestFit="1" customWidth="1"/>
    <col min="9" max="9" width="10.76171875" bestFit="1" customWidth="1"/>
    <col min="10" max="10" width="9.81640625" bestFit="1" customWidth="1"/>
  </cols>
  <sheetData>
    <row r="3" spans="3:28" x14ac:dyDescent="0.2">
      <c r="C3" s="32" t="s">
        <v>138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6" spans="3:28" x14ac:dyDescent="0.2">
      <c r="C6" s="18" t="s">
        <v>43</v>
      </c>
      <c r="D6" s="18" t="s">
        <v>44</v>
      </c>
      <c r="E6" s="18" t="s">
        <v>45</v>
      </c>
      <c r="F6" s="18" t="s">
        <v>46</v>
      </c>
      <c r="G6" s="18" t="s">
        <v>47</v>
      </c>
      <c r="H6" s="18" t="s">
        <v>48</v>
      </c>
      <c r="I6" s="18" t="s">
        <v>49</v>
      </c>
      <c r="J6" s="25" t="s">
        <v>139</v>
      </c>
      <c r="M6" s="31" t="s">
        <v>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3:28" x14ac:dyDescent="0.2">
      <c r="C7" s="19">
        <v>1001</v>
      </c>
      <c r="D7" s="20" t="s">
        <v>50</v>
      </c>
      <c r="E7" s="20" t="s">
        <v>51</v>
      </c>
      <c r="F7" s="20" t="s">
        <v>52</v>
      </c>
      <c r="G7" s="19">
        <v>10</v>
      </c>
      <c r="H7" s="19">
        <v>50</v>
      </c>
      <c r="I7" s="21">
        <v>45413</v>
      </c>
      <c r="J7" s="29">
        <f>PRODUCT(G7,H7)</f>
        <v>500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3:28" x14ac:dyDescent="0.2">
      <c r="C8" s="19">
        <v>1002</v>
      </c>
      <c r="D8" s="20" t="s">
        <v>53</v>
      </c>
      <c r="E8" s="20" t="s">
        <v>54</v>
      </c>
      <c r="F8" s="20" t="s">
        <v>55</v>
      </c>
      <c r="G8" s="19">
        <v>20</v>
      </c>
      <c r="H8" s="19">
        <v>10</v>
      </c>
      <c r="I8" s="21">
        <v>45444</v>
      </c>
      <c r="J8" s="29">
        <f t="shared" ref="J8:J56" si="0">PRODUCT(G8,H8)</f>
        <v>200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3:28" x14ac:dyDescent="0.2">
      <c r="C9" s="19">
        <v>1003</v>
      </c>
      <c r="D9" s="20" t="s">
        <v>56</v>
      </c>
      <c r="E9" s="20" t="s">
        <v>57</v>
      </c>
      <c r="F9" s="20" t="s">
        <v>58</v>
      </c>
      <c r="G9" s="19">
        <v>15</v>
      </c>
      <c r="H9" s="19">
        <v>25</v>
      </c>
      <c r="I9" s="21">
        <v>45474</v>
      </c>
      <c r="J9" s="29">
        <f t="shared" si="0"/>
        <v>375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3:28" x14ac:dyDescent="0.2">
      <c r="C10" s="19">
        <v>1004</v>
      </c>
      <c r="D10" s="20" t="s">
        <v>59</v>
      </c>
      <c r="E10" s="20" t="s">
        <v>60</v>
      </c>
      <c r="F10" s="20" t="s">
        <v>52</v>
      </c>
      <c r="G10" s="19">
        <v>5</v>
      </c>
      <c r="H10" s="19">
        <v>50</v>
      </c>
      <c r="I10" s="21">
        <v>45505</v>
      </c>
      <c r="J10" s="29">
        <f t="shared" si="0"/>
        <v>250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3:28" x14ac:dyDescent="0.2">
      <c r="C11" s="19">
        <v>1005</v>
      </c>
      <c r="D11" s="20" t="s">
        <v>61</v>
      </c>
      <c r="E11" s="20" t="s">
        <v>51</v>
      </c>
      <c r="F11" s="20" t="s">
        <v>62</v>
      </c>
      <c r="G11" s="19">
        <v>30</v>
      </c>
      <c r="H11" s="19">
        <v>5</v>
      </c>
      <c r="I11" s="21">
        <v>45566</v>
      </c>
      <c r="J11" s="29">
        <f t="shared" si="0"/>
        <v>150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3:28" x14ac:dyDescent="0.2">
      <c r="C12" s="19">
        <v>1006</v>
      </c>
      <c r="D12" s="20" t="s">
        <v>63</v>
      </c>
      <c r="E12" s="20" t="s">
        <v>54</v>
      </c>
      <c r="F12" s="20" t="s">
        <v>52</v>
      </c>
      <c r="G12" s="19">
        <v>12</v>
      </c>
      <c r="H12" s="19">
        <v>50</v>
      </c>
      <c r="I12" s="21">
        <v>45597</v>
      </c>
      <c r="J12" s="29">
        <f t="shared" si="0"/>
        <v>600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3:28" x14ac:dyDescent="0.2">
      <c r="C13" s="19">
        <v>1007</v>
      </c>
      <c r="D13" s="20" t="s">
        <v>64</v>
      </c>
      <c r="E13" s="20" t="s">
        <v>57</v>
      </c>
      <c r="F13" s="20" t="s">
        <v>65</v>
      </c>
      <c r="G13" s="19">
        <v>25</v>
      </c>
      <c r="H13" s="19">
        <v>8</v>
      </c>
      <c r="I13" s="19" t="s">
        <v>66</v>
      </c>
      <c r="J13" s="29">
        <f t="shared" si="0"/>
        <v>200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3:28" x14ac:dyDescent="0.2">
      <c r="C14" s="19">
        <v>1008</v>
      </c>
      <c r="D14" s="20" t="s">
        <v>67</v>
      </c>
      <c r="E14" s="20" t="s">
        <v>60</v>
      </c>
      <c r="F14" s="20" t="s">
        <v>55</v>
      </c>
      <c r="G14" s="19">
        <v>18</v>
      </c>
      <c r="H14" s="19">
        <v>10</v>
      </c>
      <c r="I14" s="19" t="s">
        <v>68</v>
      </c>
      <c r="J14" s="29">
        <f t="shared" si="0"/>
        <v>180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3:28" x14ac:dyDescent="0.2">
      <c r="C15" s="19">
        <v>1009</v>
      </c>
      <c r="D15" s="20" t="s">
        <v>69</v>
      </c>
      <c r="E15" s="20" t="s">
        <v>51</v>
      </c>
      <c r="F15" s="20" t="s">
        <v>58</v>
      </c>
      <c r="G15" s="19">
        <v>22</v>
      </c>
      <c r="H15" s="19">
        <v>25</v>
      </c>
      <c r="I15" s="19" t="s">
        <v>70</v>
      </c>
      <c r="J15" s="29">
        <f t="shared" si="0"/>
        <v>550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3:28" x14ac:dyDescent="0.2">
      <c r="C16" s="19">
        <v>1010</v>
      </c>
      <c r="D16" s="20" t="s">
        <v>71</v>
      </c>
      <c r="E16" s="20" t="s">
        <v>54</v>
      </c>
      <c r="F16" s="20" t="s">
        <v>52</v>
      </c>
      <c r="G16" s="19">
        <v>8</v>
      </c>
      <c r="H16" s="19">
        <v>50</v>
      </c>
      <c r="I16" s="19" t="s">
        <v>72</v>
      </c>
      <c r="J16" s="29">
        <f t="shared" si="0"/>
        <v>400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3:28" x14ac:dyDescent="0.2">
      <c r="C17" s="19">
        <v>1011</v>
      </c>
      <c r="D17" s="20" t="s">
        <v>73</v>
      </c>
      <c r="E17" s="20" t="s">
        <v>57</v>
      </c>
      <c r="F17" s="20" t="s">
        <v>62</v>
      </c>
      <c r="G17" s="19">
        <v>40</v>
      </c>
      <c r="H17" s="19">
        <v>5</v>
      </c>
      <c r="I17" s="19" t="s">
        <v>74</v>
      </c>
      <c r="J17" s="29">
        <f t="shared" si="0"/>
        <v>200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3:28" x14ac:dyDescent="0.2">
      <c r="C18" s="19">
        <v>1012</v>
      </c>
      <c r="D18" s="20" t="s">
        <v>75</v>
      </c>
      <c r="E18" s="20" t="s">
        <v>60</v>
      </c>
      <c r="F18" s="20" t="s">
        <v>65</v>
      </c>
      <c r="G18" s="19">
        <v>35</v>
      </c>
      <c r="H18" s="19">
        <v>8</v>
      </c>
      <c r="I18" s="19" t="s">
        <v>76</v>
      </c>
      <c r="J18" s="29">
        <f t="shared" si="0"/>
        <v>280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3:28" x14ac:dyDescent="0.2">
      <c r="C19" s="19">
        <v>1013</v>
      </c>
      <c r="D19" s="20" t="s">
        <v>77</v>
      </c>
      <c r="E19" s="20" t="s">
        <v>51</v>
      </c>
      <c r="F19" s="20" t="s">
        <v>52</v>
      </c>
      <c r="G19" s="19">
        <v>14</v>
      </c>
      <c r="H19" s="19">
        <v>50</v>
      </c>
      <c r="I19" s="19" t="s">
        <v>78</v>
      </c>
      <c r="J19" s="29">
        <f t="shared" si="0"/>
        <v>700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3:28" x14ac:dyDescent="0.2">
      <c r="C20" s="19">
        <v>1014</v>
      </c>
      <c r="D20" s="20" t="s">
        <v>79</v>
      </c>
      <c r="E20" s="20" t="s">
        <v>54</v>
      </c>
      <c r="F20" s="20" t="s">
        <v>55</v>
      </c>
      <c r="G20" s="19">
        <v>28</v>
      </c>
      <c r="H20" s="19">
        <v>10</v>
      </c>
      <c r="I20" s="19" t="s">
        <v>80</v>
      </c>
      <c r="J20" s="29">
        <f t="shared" si="0"/>
        <v>280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3:28" x14ac:dyDescent="0.2">
      <c r="C21" s="19">
        <v>1015</v>
      </c>
      <c r="D21" s="20" t="s">
        <v>81</v>
      </c>
      <c r="E21" s="20" t="s">
        <v>57</v>
      </c>
      <c r="F21" s="20" t="s">
        <v>58</v>
      </c>
      <c r="G21" s="19">
        <v>12</v>
      </c>
      <c r="H21" s="19">
        <v>25</v>
      </c>
      <c r="I21" s="19" t="s">
        <v>82</v>
      </c>
      <c r="J21" s="29">
        <f t="shared" si="0"/>
        <v>300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3:28" x14ac:dyDescent="0.2">
      <c r="C22" s="19">
        <v>1016</v>
      </c>
      <c r="D22" s="20" t="s">
        <v>83</v>
      </c>
      <c r="E22" s="20" t="s">
        <v>60</v>
      </c>
      <c r="F22" s="20" t="s">
        <v>62</v>
      </c>
      <c r="G22" s="19">
        <v>25</v>
      </c>
      <c r="H22" s="19">
        <v>5</v>
      </c>
      <c r="I22" s="19" t="s">
        <v>84</v>
      </c>
      <c r="J22" s="29">
        <f t="shared" si="0"/>
        <v>125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3:28" x14ac:dyDescent="0.2">
      <c r="C23" s="19">
        <v>1017</v>
      </c>
      <c r="D23" s="20" t="s">
        <v>85</v>
      </c>
      <c r="E23" s="20" t="s">
        <v>51</v>
      </c>
      <c r="F23" s="20" t="s">
        <v>65</v>
      </c>
      <c r="G23" s="19">
        <v>20</v>
      </c>
      <c r="H23" s="19">
        <v>8</v>
      </c>
      <c r="I23" s="19" t="s">
        <v>86</v>
      </c>
      <c r="J23" s="29">
        <f t="shared" si="0"/>
        <v>160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3:28" x14ac:dyDescent="0.2">
      <c r="C24" s="19">
        <v>1018</v>
      </c>
      <c r="D24" s="20" t="s">
        <v>87</v>
      </c>
      <c r="E24" s="20" t="s">
        <v>54</v>
      </c>
      <c r="F24" s="20" t="s">
        <v>52</v>
      </c>
      <c r="G24" s="19">
        <v>10</v>
      </c>
      <c r="H24" s="19">
        <v>50</v>
      </c>
      <c r="I24" s="19" t="s">
        <v>88</v>
      </c>
      <c r="J24" s="29">
        <f t="shared" si="0"/>
        <v>500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3:28" x14ac:dyDescent="0.2">
      <c r="C25" s="19">
        <v>1019</v>
      </c>
      <c r="D25" s="20" t="s">
        <v>89</v>
      </c>
      <c r="E25" s="20" t="s">
        <v>57</v>
      </c>
      <c r="F25" s="20" t="s">
        <v>55</v>
      </c>
      <c r="G25" s="19">
        <v>15</v>
      </c>
      <c r="H25" s="19">
        <v>10</v>
      </c>
      <c r="I25" s="19" t="s">
        <v>90</v>
      </c>
      <c r="J25" s="29">
        <f t="shared" si="0"/>
        <v>150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3:28" x14ac:dyDescent="0.2">
      <c r="C26" s="19">
        <v>1020</v>
      </c>
      <c r="D26" s="20" t="s">
        <v>91</v>
      </c>
      <c r="E26" s="20" t="s">
        <v>60</v>
      </c>
      <c r="F26" s="20" t="s">
        <v>58</v>
      </c>
      <c r="G26" s="19">
        <v>18</v>
      </c>
      <c r="H26" s="19">
        <v>25</v>
      </c>
      <c r="I26" s="21">
        <v>45293</v>
      </c>
      <c r="J26" s="29">
        <f t="shared" si="0"/>
        <v>450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3:28" x14ac:dyDescent="0.2">
      <c r="C27" s="19">
        <v>1021</v>
      </c>
      <c r="D27" s="20" t="s">
        <v>92</v>
      </c>
      <c r="E27" s="20" t="s">
        <v>51</v>
      </c>
      <c r="F27" s="20" t="s">
        <v>52</v>
      </c>
      <c r="G27" s="19">
        <v>9</v>
      </c>
      <c r="H27" s="19">
        <v>50</v>
      </c>
      <c r="I27" s="21">
        <v>45324</v>
      </c>
      <c r="J27" s="29">
        <f t="shared" si="0"/>
        <v>450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3:28" x14ac:dyDescent="0.2">
      <c r="C28" s="19">
        <v>1022</v>
      </c>
      <c r="D28" s="20" t="s">
        <v>93</v>
      </c>
      <c r="E28" s="20" t="s">
        <v>54</v>
      </c>
      <c r="F28" s="20" t="s">
        <v>62</v>
      </c>
      <c r="G28" s="19">
        <v>35</v>
      </c>
      <c r="H28" s="19">
        <v>5</v>
      </c>
      <c r="I28" s="21">
        <v>45353</v>
      </c>
      <c r="J28" s="29">
        <f t="shared" si="0"/>
        <v>175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3:28" x14ac:dyDescent="0.2">
      <c r="C29" s="19">
        <v>1023</v>
      </c>
      <c r="D29" s="20" t="s">
        <v>94</v>
      </c>
      <c r="E29" s="20" t="s">
        <v>57</v>
      </c>
      <c r="F29" s="20" t="s">
        <v>65</v>
      </c>
      <c r="G29" s="19">
        <v>30</v>
      </c>
      <c r="H29" s="19">
        <v>8</v>
      </c>
      <c r="I29" s="21">
        <v>45384</v>
      </c>
      <c r="J29" s="29">
        <f t="shared" si="0"/>
        <v>240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3:28" x14ac:dyDescent="0.2">
      <c r="C30" s="19">
        <v>1024</v>
      </c>
      <c r="D30" s="20" t="s">
        <v>95</v>
      </c>
      <c r="E30" s="20" t="s">
        <v>60</v>
      </c>
      <c r="F30" s="20" t="s">
        <v>52</v>
      </c>
      <c r="G30" s="19">
        <v>11</v>
      </c>
      <c r="H30" s="19">
        <v>50</v>
      </c>
      <c r="I30" s="21">
        <v>45445</v>
      </c>
      <c r="J30" s="29">
        <f t="shared" si="0"/>
        <v>550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3:28" x14ac:dyDescent="0.2">
      <c r="C31" s="19">
        <v>1025</v>
      </c>
      <c r="D31" s="20" t="s">
        <v>96</v>
      </c>
      <c r="E31" s="20" t="s">
        <v>51</v>
      </c>
      <c r="F31" s="20" t="s">
        <v>55</v>
      </c>
      <c r="G31" s="19">
        <v>14</v>
      </c>
      <c r="H31" s="19">
        <v>10</v>
      </c>
      <c r="I31" s="21">
        <v>45475</v>
      </c>
      <c r="J31" s="29">
        <f t="shared" si="0"/>
        <v>140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3:28" x14ac:dyDescent="0.2">
      <c r="C32" s="19">
        <v>1026</v>
      </c>
      <c r="D32" s="20" t="s">
        <v>97</v>
      </c>
      <c r="E32" s="20" t="s">
        <v>54</v>
      </c>
      <c r="F32" s="20" t="s">
        <v>58</v>
      </c>
      <c r="G32" s="19">
        <v>16</v>
      </c>
      <c r="H32" s="19">
        <v>25</v>
      </c>
      <c r="I32" s="21">
        <v>45506</v>
      </c>
      <c r="J32" s="29">
        <f t="shared" si="0"/>
        <v>400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3:28" x14ac:dyDescent="0.2">
      <c r="C33" s="19">
        <v>1027</v>
      </c>
      <c r="D33" s="20" t="s">
        <v>98</v>
      </c>
      <c r="E33" s="20" t="s">
        <v>57</v>
      </c>
      <c r="F33" s="20" t="s">
        <v>62</v>
      </c>
      <c r="G33" s="19">
        <v>22</v>
      </c>
      <c r="H33" s="19">
        <v>5</v>
      </c>
      <c r="I33" s="21">
        <v>45537</v>
      </c>
      <c r="J33" s="29">
        <f t="shared" si="0"/>
        <v>110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3:28" x14ac:dyDescent="0.2">
      <c r="C34" s="19">
        <v>1028</v>
      </c>
      <c r="D34" s="20" t="s">
        <v>99</v>
      </c>
      <c r="E34" s="20" t="s">
        <v>60</v>
      </c>
      <c r="F34" s="20" t="s">
        <v>65</v>
      </c>
      <c r="G34" s="19">
        <v>27</v>
      </c>
      <c r="H34" s="19">
        <v>8</v>
      </c>
      <c r="I34" s="21">
        <v>45567</v>
      </c>
      <c r="J34" s="29">
        <f t="shared" si="0"/>
        <v>216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3:28" x14ac:dyDescent="0.2">
      <c r="C35" s="19">
        <v>1029</v>
      </c>
      <c r="D35" s="20" t="s">
        <v>100</v>
      </c>
      <c r="E35" s="20" t="s">
        <v>51</v>
      </c>
      <c r="F35" s="20" t="s">
        <v>52</v>
      </c>
      <c r="G35" s="19">
        <v>13</v>
      </c>
      <c r="H35" s="19">
        <v>50</v>
      </c>
      <c r="I35" s="21">
        <v>45628</v>
      </c>
      <c r="J35" s="29">
        <f t="shared" si="0"/>
        <v>650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3:28" x14ac:dyDescent="0.2">
      <c r="C36" s="19">
        <v>1030</v>
      </c>
      <c r="D36" s="20" t="s">
        <v>101</v>
      </c>
      <c r="E36" s="20" t="s">
        <v>54</v>
      </c>
      <c r="F36" s="20" t="s">
        <v>55</v>
      </c>
      <c r="G36" s="19">
        <v>32</v>
      </c>
      <c r="H36" s="19">
        <v>10</v>
      </c>
      <c r="I36" s="19" t="s">
        <v>102</v>
      </c>
      <c r="J36" s="29">
        <f t="shared" si="0"/>
        <v>320</v>
      </c>
    </row>
    <row r="37" spans="3:28" x14ac:dyDescent="0.2">
      <c r="C37" s="19">
        <v>1031</v>
      </c>
      <c r="D37" s="20" t="s">
        <v>103</v>
      </c>
      <c r="E37" s="20" t="s">
        <v>57</v>
      </c>
      <c r="F37" s="20" t="s">
        <v>58</v>
      </c>
      <c r="G37" s="19">
        <v>10</v>
      </c>
      <c r="H37" s="19">
        <v>25</v>
      </c>
      <c r="I37" s="19" t="s">
        <v>104</v>
      </c>
      <c r="J37" s="29">
        <f t="shared" si="0"/>
        <v>250</v>
      </c>
    </row>
    <row r="38" spans="3:28" x14ac:dyDescent="0.2">
      <c r="C38" s="19">
        <v>1032</v>
      </c>
      <c r="D38" s="20" t="s">
        <v>105</v>
      </c>
      <c r="E38" s="20" t="s">
        <v>60</v>
      </c>
      <c r="F38" s="20" t="s">
        <v>62</v>
      </c>
      <c r="G38" s="19">
        <v>18</v>
      </c>
      <c r="H38" s="19">
        <v>5</v>
      </c>
      <c r="I38" s="19" t="s">
        <v>106</v>
      </c>
      <c r="J38" s="29">
        <f t="shared" si="0"/>
        <v>90</v>
      </c>
    </row>
    <row r="39" spans="3:28" x14ac:dyDescent="0.2">
      <c r="C39" s="19">
        <v>1033</v>
      </c>
      <c r="D39" s="20" t="s">
        <v>107</v>
      </c>
      <c r="E39" s="20" t="s">
        <v>51</v>
      </c>
      <c r="F39" s="20" t="s">
        <v>65</v>
      </c>
      <c r="G39" s="19">
        <v>22</v>
      </c>
      <c r="H39" s="19">
        <v>8</v>
      </c>
      <c r="I39" s="19" t="s">
        <v>108</v>
      </c>
      <c r="J39" s="29">
        <f t="shared" si="0"/>
        <v>176</v>
      </c>
    </row>
    <row r="40" spans="3:28" x14ac:dyDescent="0.2">
      <c r="C40" s="19">
        <v>1034</v>
      </c>
      <c r="D40" s="20" t="s">
        <v>109</v>
      </c>
      <c r="E40" s="20" t="s">
        <v>54</v>
      </c>
      <c r="F40" s="20" t="s">
        <v>52</v>
      </c>
      <c r="G40" s="19">
        <v>17</v>
      </c>
      <c r="H40" s="19">
        <v>50</v>
      </c>
      <c r="I40" s="19" t="s">
        <v>110</v>
      </c>
      <c r="J40" s="29">
        <f t="shared" si="0"/>
        <v>850</v>
      </c>
    </row>
    <row r="41" spans="3:28" x14ac:dyDescent="0.2">
      <c r="C41" s="19">
        <v>1035</v>
      </c>
      <c r="D41" s="20" t="s">
        <v>111</v>
      </c>
      <c r="E41" s="20" t="s">
        <v>57</v>
      </c>
      <c r="F41" s="20" t="s">
        <v>55</v>
      </c>
      <c r="G41" s="19">
        <v>19</v>
      </c>
      <c r="H41" s="19">
        <v>10</v>
      </c>
      <c r="I41" s="19" t="s">
        <v>112</v>
      </c>
      <c r="J41" s="29">
        <f t="shared" si="0"/>
        <v>190</v>
      </c>
    </row>
    <row r="42" spans="3:28" x14ac:dyDescent="0.2">
      <c r="C42" s="19">
        <v>1036</v>
      </c>
      <c r="D42" s="20" t="s">
        <v>113</v>
      </c>
      <c r="E42" s="20" t="s">
        <v>60</v>
      </c>
      <c r="F42" s="20" t="s">
        <v>58</v>
      </c>
      <c r="G42" s="19">
        <v>15</v>
      </c>
      <c r="H42" s="19">
        <v>25</v>
      </c>
      <c r="I42" s="19" t="s">
        <v>114</v>
      </c>
      <c r="J42" s="29">
        <f t="shared" si="0"/>
        <v>375</v>
      </c>
    </row>
    <row r="43" spans="3:28" x14ac:dyDescent="0.2">
      <c r="C43" s="19">
        <v>1037</v>
      </c>
      <c r="D43" s="20" t="s">
        <v>115</v>
      </c>
      <c r="E43" s="20" t="s">
        <v>51</v>
      </c>
      <c r="F43" s="20" t="s">
        <v>62</v>
      </c>
      <c r="G43" s="19">
        <v>28</v>
      </c>
      <c r="H43" s="19">
        <v>5</v>
      </c>
      <c r="I43" s="19" t="s">
        <v>116</v>
      </c>
      <c r="J43" s="29">
        <f t="shared" si="0"/>
        <v>140</v>
      </c>
    </row>
    <row r="44" spans="3:28" x14ac:dyDescent="0.2">
      <c r="C44" s="19">
        <v>1038</v>
      </c>
      <c r="D44" s="20" t="s">
        <v>117</v>
      </c>
      <c r="E44" s="20" t="s">
        <v>54</v>
      </c>
      <c r="F44" s="20" t="s">
        <v>65</v>
      </c>
      <c r="G44" s="19">
        <v>24</v>
      </c>
      <c r="H44" s="19">
        <v>8</v>
      </c>
      <c r="I44" s="19" t="s">
        <v>118</v>
      </c>
      <c r="J44" s="29">
        <f t="shared" si="0"/>
        <v>192</v>
      </c>
    </row>
    <row r="45" spans="3:28" x14ac:dyDescent="0.2">
      <c r="C45" s="19">
        <v>1039</v>
      </c>
      <c r="D45" s="20" t="s">
        <v>119</v>
      </c>
      <c r="E45" s="20" t="s">
        <v>57</v>
      </c>
      <c r="F45" s="20" t="s">
        <v>52</v>
      </c>
      <c r="G45" s="19">
        <v>16</v>
      </c>
      <c r="H45" s="19">
        <v>50</v>
      </c>
      <c r="I45" s="19" t="s">
        <v>120</v>
      </c>
      <c r="J45" s="29">
        <f t="shared" si="0"/>
        <v>800</v>
      </c>
    </row>
    <row r="46" spans="3:28" x14ac:dyDescent="0.2">
      <c r="C46" s="19">
        <v>1040</v>
      </c>
      <c r="D46" s="20" t="s">
        <v>121</v>
      </c>
      <c r="E46" s="20" t="s">
        <v>60</v>
      </c>
      <c r="F46" s="20" t="s">
        <v>55</v>
      </c>
      <c r="G46" s="19">
        <v>27</v>
      </c>
      <c r="H46" s="19">
        <v>10</v>
      </c>
      <c r="I46" s="19" t="s">
        <v>122</v>
      </c>
      <c r="J46" s="29">
        <f t="shared" si="0"/>
        <v>270</v>
      </c>
    </row>
    <row r="47" spans="3:28" x14ac:dyDescent="0.2">
      <c r="C47" s="19">
        <v>1041</v>
      </c>
      <c r="D47" s="20" t="s">
        <v>123</v>
      </c>
      <c r="E47" s="20" t="s">
        <v>51</v>
      </c>
      <c r="F47" s="20" t="s">
        <v>58</v>
      </c>
      <c r="G47" s="19">
        <v>21</v>
      </c>
      <c r="H47" s="19">
        <v>25</v>
      </c>
      <c r="I47" s="19" t="s">
        <v>124</v>
      </c>
      <c r="J47" s="29">
        <f t="shared" si="0"/>
        <v>525</v>
      </c>
    </row>
    <row r="48" spans="3:28" x14ac:dyDescent="0.2">
      <c r="C48" s="19">
        <v>1042</v>
      </c>
      <c r="D48" s="20" t="s">
        <v>125</v>
      </c>
      <c r="E48" s="20" t="s">
        <v>54</v>
      </c>
      <c r="F48" s="20" t="s">
        <v>62</v>
      </c>
      <c r="G48" s="19">
        <v>30</v>
      </c>
      <c r="H48" s="19">
        <v>5</v>
      </c>
      <c r="I48" s="19" t="s">
        <v>126</v>
      </c>
      <c r="J48" s="29">
        <f t="shared" si="0"/>
        <v>150</v>
      </c>
    </row>
    <row r="49" spans="3:10" x14ac:dyDescent="0.2">
      <c r="C49" s="19">
        <v>1043</v>
      </c>
      <c r="D49" s="20" t="s">
        <v>127</v>
      </c>
      <c r="E49" s="20" t="s">
        <v>57</v>
      </c>
      <c r="F49" s="20" t="s">
        <v>65</v>
      </c>
      <c r="G49" s="19">
        <v>26</v>
      </c>
      <c r="H49" s="19">
        <v>8</v>
      </c>
      <c r="I49" s="21">
        <v>45294</v>
      </c>
      <c r="J49" s="29">
        <f t="shared" si="0"/>
        <v>208</v>
      </c>
    </row>
    <row r="50" spans="3:10" x14ac:dyDescent="0.2">
      <c r="C50" s="19">
        <v>1044</v>
      </c>
      <c r="D50" s="20" t="s">
        <v>128</v>
      </c>
      <c r="E50" s="20" t="s">
        <v>60</v>
      </c>
      <c r="F50" s="20" t="s">
        <v>52</v>
      </c>
      <c r="G50" s="19">
        <v>14</v>
      </c>
      <c r="H50" s="19">
        <v>50</v>
      </c>
      <c r="I50" s="21">
        <v>45325</v>
      </c>
      <c r="J50" s="29">
        <f t="shared" si="0"/>
        <v>700</v>
      </c>
    </row>
    <row r="51" spans="3:10" x14ac:dyDescent="0.2">
      <c r="C51" s="19">
        <v>1045</v>
      </c>
      <c r="D51" s="20" t="s">
        <v>129</v>
      </c>
      <c r="E51" s="20" t="s">
        <v>51</v>
      </c>
      <c r="F51" s="20" t="s">
        <v>55</v>
      </c>
      <c r="G51" s="19">
        <v>20</v>
      </c>
      <c r="H51" s="19">
        <v>10</v>
      </c>
      <c r="I51" s="21">
        <v>45354</v>
      </c>
      <c r="J51" s="29">
        <f t="shared" si="0"/>
        <v>200</v>
      </c>
    </row>
    <row r="52" spans="3:10" x14ac:dyDescent="0.2">
      <c r="C52" s="19">
        <v>1046</v>
      </c>
      <c r="D52" s="20" t="s">
        <v>130</v>
      </c>
      <c r="E52" s="20" t="s">
        <v>54</v>
      </c>
      <c r="F52" s="20" t="s">
        <v>58</v>
      </c>
      <c r="G52" s="19">
        <v>17</v>
      </c>
      <c r="H52" s="19">
        <v>25</v>
      </c>
      <c r="I52" s="21">
        <v>45385</v>
      </c>
      <c r="J52" s="29">
        <f t="shared" si="0"/>
        <v>425</v>
      </c>
    </row>
    <row r="53" spans="3:10" x14ac:dyDescent="0.2">
      <c r="C53" s="19">
        <v>1047</v>
      </c>
      <c r="D53" s="20" t="s">
        <v>131</v>
      </c>
      <c r="E53" s="20" t="s">
        <v>57</v>
      </c>
      <c r="F53" s="20" t="s">
        <v>62</v>
      </c>
      <c r="G53" s="19">
        <v>19</v>
      </c>
      <c r="H53" s="19">
        <v>5</v>
      </c>
      <c r="I53" s="21">
        <v>45415</v>
      </c>
      <c r="J53" s="29">
        <f t="shared" si="0"/>
        <v>95</v>
      </c>
    </row>
    <row r="54" spans="3:10" x14ac:dyDescent="0.2">
      <c r="C54" s="19">
        <v>1048</v>
      </c>
      <c r="D54" s="20" t="s">
        <v>132</v>
      </c>
      <c r="E54" s="20" t="s">
        <v>60</v>
      </c>
      <c r="F54" s="20" t="s">
        <v>65</v>
      </c>
      <c r="G54" s="19">
        <v>32</v>
      </c>
      <c r="H54" s="19">
        <v>8</v>
      </c>
      <c r="I54" s="21">
        <v>45446</v>
      </c>
      <c r="J54" s="29">
        <f t="shared" si="0"/>
        <v>256</v>
      </c>
    </row>
    <row r="55" spans="3:10" x14ac:dyDescent="0.2">
      <c r="C55" s="19">
        <v>1049</v>
      </c>
      <c r="D55" s="20" t="s">
        <v>133</v>
      </c>
      <c r="E55" s="20" t="s">
        <v>51</v>
      </c>
      <c r="F55" s="20" t="s">
        <v>52</v>
      </c>
      <c r="G55" s="19">
        <v>12</v>
      </c>
      <c r="H55" s="19">
        <v>50</v>
      </c>
      <c r="I55" s="21">
        <v>45476</v>
      </c>
      <c r="J55" s="29">
        <f t="shared" si="0"/>
        <v>600</v>
      </c>
    </row>
    <row r="56" spans="3:10" x14ac:dyDescent="0.2">
      <c r="C56" s="19">
        <v>1050</v>
      </c>
      <c r="D56" s="20" t="s">
        <v>134</v>
      </c>
      <c r="E56" s="20" t="s">
        <v>54</v>
      </c>
      <c r="F56" s="20" t="s">
        <v>55</v>
      </c>
      <c r="G56" s="19">
        <v>25</v>
      </c>
      <c r="H56" s="19">
        <v>10</v>
      </c>
      <c r="I56" s="21">
        <v>45507</v>
      </c>
      <c r="J56" s="29">
        <f t="shared" si="0"/>
        <v>250</v>
      </c>
    </row>
  </sheetData>
  <mergeCells count="1">
    <mergeCell ref="C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Abhijit Vishwase</cp:lastModifiedBy>
  <dcterms:created xsi:type="dcterms:W3CDTF">2025-11-06T15:06:00Z</dcterms:created>
  <dcterms:modified xsi:type="dcterms:W3CDTF">2025-11-06T16:32:55Z</dcterms:modified>
</cp:coreProperties>
</file>